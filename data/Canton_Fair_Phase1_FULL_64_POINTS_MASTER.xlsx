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8d1ea7381a47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ULL MASTER LIST" sheetId="9" r:id="R7a008730d43f4d8e"/>
    <x:sheet xmlns:r="http://schemas.openxmlformats.org/officeDocument/2006/relationships" name="FULL LIST SUMMARY" sheetId="10" r:id="R7b606938e5894011"/>
    <x:sheet xmlns:r="http://schemas.openxmlformats.org/officeDocument/2006/relationships" name="FINAL COVERAGE" sheetId="11" r:id="Ra31d988372664a07"/>
    <x:sheet xmlns:r="http://schemas.openxmlformats.org/officeDocument/2006/relationships" name="FINAL STATUS" sheetId="12" r:id="Rbe14c436836348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2554"/>
      </x:patternFill>
    </x:fill>
    <x:fill>
      <x:patternFill patternType="solid">
        <x:fgColor rgb="FF0F3B5F"/>
      </x:patternFill>
    </x:fill>
    <x:fill>
      <x:patternFill patternType="solid">
        <x:fgColor rgb="FF102A43"/>
      </x:patternFill>
    </x:fill>
    <x:fill>
      <x:patternFill patternType="solid">
        <x:fgColor rgb="FF102A43"/>
      </x:patternFill>
    </x:fill>
    <x:fill>
      <x:patternFill patternType="solid">
        <x:fgColor rgb="FFD9EAF7"/>
      </x:patternFill>
    </x:fill>
    <x:fill>
      <x:patternFill patternType="solid">
        <x:fgColor rgb="FF102A43"/>
      </x:patternFill>
    </x:fill>
    <x:fill>
      <x:patternFill patternType="solid">
        <x:fgColor rgb="FF102A43"/>
      </x:patternFill>
    </x:fill>
  </x:fills>
  <x:borders count="2">
    <x:border/>
    <x:border/>
  </x:borders>
  <x:cellStyleXfs count="1">
    <x:xf numFmtId="0" fontId="0" fillId="0" borderId="0"/>
  </x:cellStyleXfs>
  <x:cellXfs count="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</x:cellXfs>
  <x:cellStyles count="1">
    <x:cellStyle name="Normal" xfId="0"/>
  </x:cellStyles>
  <x:dxfs count="29">
    <x:dxf>
      <x:font>
        <x:b/>
      </x:font>
      <x:fill>
        <x:patternFill>
          <x:bgColor rgb="FFFFF2CC"/>
        </x:patternFill>
      </x:fill>
    </x:dxf>
    <x:dxf>
      <x:fill>
        <x:patternFill>
          <x:bgColor rgb="FFC6E0B4"/>
        </x:patternFill>
      </x:fill>
    </x:dxf>
    <x:dxf>
      <x:fill>
        <x:patternFill>
          <x:bgColor rgb="FFF4CCCC"/>
        </x:patternFill>
      </x:fill>
    </x:dxf>
    <x:dxf>
      <x:font>
        <x:b/>
      </x:font>
      <x:fill>
        <x:patternFill>
          <x:bgColor rgb="FFFFF2CC"/>
        </x:patternFill>
      </x:fill>
    </x:dxf>
    <x:dxf>
      <x:fill>
        <x:patternFill>
          <x:bgColor rgb="FFC6E0B4"/>
        </x:patternFill>
      </x:fill>
    </x:dxf>
    <x:dxf>
      <x:fill>
        <x:patternFill>
          <x:bgColor rgb="FFF4CCCC"/>
        </x:patternFill>
      </x:fill>
    </x:dxf>
    <x:dxf>
      <x:font>
        <x:b/>
      </x:font>
      <x:fill>
        <x:patternFill>
          <x:bgColor rgb="FFFFF2CC"/>
        </x:patternFill>
      </x:fill>
    </x:dxf>
    <x:dxf>
      <x:fill>
        <x:patternFill>
          <x:bgColor rgb="FFC6E0B4"/>
        </x:patternFill>
      </x:fill>
    </x:dxf>
    <x:dxf>
      <x:fill>
        <x:patternFill>
          <x:bgColor rgb="FFF4CCCC"/>
        </x:patternFill>
      </x:fill>
    </x:dxf>
    <x:dxf>
      <x:font>
        <x:b/>
      </x:font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D9EAD3"/>
        </x:patternFill>
      </x:fill>
    </x:dxf>
    <x:dxf>
      <x:font>
        <x:b/>
      </x:font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C6E0B4"/>
        </x:patternFill>
      </x:fill>
    </x:dxf>
    <x:dxf>
      <x:fill>
        <x:patternFill>
          <x:bgColor rgb="FFF4CCCC"/>
        </x:patternFill>
      </x:fill>
    </x:dxf>
    <x:dxf>
      <x:font>
        <x:b/>
      </x:font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C6E0B4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D9EAD3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ont>
        <x:b/>
      </x:font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053a2c51ee4abe" /><Relationship Type="http://schemas.openxmlformats.org/officeDocument/2006/relationships/theme" Target="/xl/theme/theme1.xml" Id="R0e418c2c327d4b4f" /><Relationship Type="http://schemas.openxmlformats.org/officeDocument/2006/relationships/sharedStrings" Target="/xl/sharedStrings.xml" Id="Re3ed1023284f4127" /><Relationship Type="http://schemas.openxmlformats.org/officeDocument/2006/relationships/worksheet" Target="/xl/worksheets/sheet1.xml" Id="R7a008730d43f4d8e" /><Relationship Type="http://schemas.openxmlformats.org/officeDocument/2006/relationships/worksheet" Target="/xl/worksheets/sheet2.xml" Id="R7b606938e5894011" /><Relationship Type="http://schemas.openxmlformats.org/officeDocument/2006/relationships/worksheet" Target="/xl/worksheets/sheet3.xml" Id="Ra31d988372664a07" /><Relationship Type="http://schemas.openxmlformats.org/officeDocument/2006/relationships/worksheet" Target="/xl/worksheets/sheet4.xml" Id="Rbe14c436836348fb" /></Relationships>
</file>

<file path=xl/tables/table1.xml><?xml version="1.0" encoding="utf-8"?>
<x:table xmlns:x="http://schemas.openxmlformats.org/spreadsheetml/2006/main" id="4" name="FullMasterFinalV2" displayName="FullMasterFinalV2" ref="A1:S65" headerRowCount="1" totalsRowCount="0" totalsRowShown="0">
  <x:tableColumns count="19">
    <x:tableColumn id="1" name="ID / порядок"/>
    <x:tableColumn id="2" name="Приоритет"/>
    <x:tableColumn id="3" name="Товарное направление"/>
    <x:tableColumn id="4" name="Компания / бренд"/>
    <x:tableColumn id="5" name="Hall"/>
    <x:tableColumn id="6" name="Booth"/>
    <x:tableColumn id="7" name="Что представлено"/>
    <x:tableColumn id="8" name="Почему точка релевантна"/>
    <x:tableColumn id="9" name="Что получить / проверить"/>
    <x:tableColumn id="10" name="Телефон / WhatsApp"/>
    <x:tableColumn id="11" name="WeChat / Email"/>
    <x:tableColumn id="12" name="Сайт"/>
    <x:tableColumn id="13" name="Статус верификации"/>
    <x:tableColumn id="14" name="Источник"/>
    <x:tableColumn id="15" name="Статус посещения"/>
    <x:tableColumn id="16" name="Контакт получен"/>
    <x:tableColumn id="17" name="Итог / заметки"/>
    <x:tableColumn id="18" name="Группа для будущей карты"/>
    <x:tableColumn id="19" name="Тип точки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13b3988c6e04802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0" hidden="0" customWidth="1"/>
    <x:col min="3" max="3" width="26" hidden="0" customWidth="1"/>
    <x:col min="4" max="4" width="32" hidden="0" customWidth="1"/>
    <x:col min="5" max="5" width="10" hidden="0" customWidth="1"/>
    <x:col min="6" max="6" width="25" hidden="0" customWidth="1"/>
    <x:col min="7" max="7" width="38" hidden="0" customWidth="1"/>
    <x:col min="8" max="8" width="44" hidden="0" customWidth="1"/>
    <x:col min="9" max="9" width="48" hidden="0" customWidth="1"/>
    <x:col min="10" max="10" width="26" hidden="0" customWidth="1"/>
    <x:col min="11" max="11" width="26" hidden="0" customWidth="1"/>
    <x:col min="12" max="12" width="28" hidden="0" customWidth="1"/>
    <x:col min="13" max="13" width="31" hidden="0" customWidth="1"/>
    <x:col min="14" max="14" width="46" hidden="0" customWidth="1"/>
    <x:col min="15" max="15" width="18" hidden="0" customWidth="1"/>
    <x:col min="16" max="16" width="16" hidden="0" customWidth="1"/>
    <x:col min="17" max="17" width="36" hidden="0" customWidth="1"/>
    <x:col min="18" max="18" width="24" hidden="0" customWidth="1"/>
    <x:col min="19" max="19" width="23" hidden="0" customWidth="1"/>
  </x:cols>
  <x:sheetData>
    <x:row r="1">
      <x:c r="A1" s="31" t="str">
        <x:v>ID / порядок</x:v>
      </x:c>
      <x:c r="B1" s="31" t="str">
        <x:v>Приоритет</x:v>
      </x:c>
      <x:c r="C1" s="31" t="str">
        <x:v>Товарное направление</x:v>
      </x:c>
      <x:c r="D1" s="31" t="str">
        <x:v>Компания / бренд</x:v>
      </x:c>
      <x:c r="E1" s="31" t="str">
        <x:v>Hall</x:v>
      </x:c>
      <x:c r="F1" s="31" t="str">
        <x:v>Booth</x:v>
      </x:c>
      <x:c r="G1" s="31" t="str">
        <x:v>Что представлено</x:v>
      </x:c>
      <x:c r="H1" s="31" t="str">
        <x:v>Почему точка релевантна</x:v>
      </x:c>
      <x:c r="I1" s="31" t="str">
        <x:v>Что получить / проверить</x:v>
      </x:c>
      <x:c r="J1" s="31" t="str">
        <x:v>Телефон / WhatsApp</x:v>
      </x:c>
      <x:c r="K1" s="31" t="str">
        <x:v>WeChat / Email</x:v>
      </x:c>
      <x:c r="L1" s="31" t="str">
        <x:v>Сайт</x:v>
      </x:c>
      <x:c r="M1" s="31" t="str">
        <x:v>Статус верификации</x:v>
      </x:c>
      <x:c r="N1" s="31" t="str">
        <x:v>Источник</x:v>
      </x:c>
      <x:c r="O1" s="31" t="str">
        <x:v>Статус посещения</x:v>
      </x:c>
      <x:c r="P1" s="31" t="str">
        <x:v>Контакт получен</x:v>
      </x:c>
      <x:c r="Q1" s="31" t="str">
        <x:v>Итог / заметки</x:v>
      </x:c>
      <x:c r="R1" s="31" t="str">
        <x:v>Группа для будущей карты</x:v>
      </x:c>
      <x:c r="S1" s="31" t="str">
        <x:v>Тип точки</x:v>
      </x:c>
    </x:row>
    <x:row r="2">
      <x:c r="A2" s="13" t="n">
        <x:v>1</x:v>
      </x:c>
      <x:c r="B2" s="13" t="str">
        <x:v>A</x:v>
      </x:c>
      <x:c r="C2" s="13" t="str">
        <x:v>Электромоторы / мотор-компоненты</x:v>
      </x:c>
      <x:c r="D2" s="13" t="str">
        <x:v>Shengzhou Jiangxin Motor Technology</x:v>
      </x:c>
      <x:c r="E2" s="13" t="str">
        <x:v>3.1</x:v>
      </x:c>
      <x:c r="F2" s="13" t="str">
        <x:v>3.1Y33-34</x:v>
      </x:c>
      <x:c r="G2" s="13" t="str">
        <x:v>AC/DC motors, micro motors, custom motor engineering</x:v>
      </x:c>
      <x:c r="H2" s="13" t="str">
        <x:v>Получить инженеров по мотору и кастомизации; полезно для приводов, насосов, вентиляции и как контакт в моторной цепочке.</x:v>
      </x:c>
      <x:c r="I2" s="13" t="str">
        <x:v>Спросить BLDC/PMSM, 24/48/72/96V, continuous duty, IP67, water cooling, CAN, custom shaft/housing; запросить инженера и factory visit.</x:v>
      </x:c>
      <x:c r="J2" s="13" t="str">
        <x:v>Не подтверждён публично</x:v>
      </x:c>
      <x:c r="K2" s="13" t="str">
        <x:v>betty@dbjxmotor.com</x:v>
      </x:c>
      <x:c r="L2" s="13" t="str">
        <x:v>https://www.jxmotorfactory.com/</x:v>
      </x:c>
      <x:c r="M2" s="13" t="str">
        <x:v>ТОЧНЫЙ СТЕНД подтверждён сайтом компании</x:v>
      </x:c>
      <x:c r="N2" s="13" t="str">
        <x:v>https://www.jxmotorfactory.com/news/company-news/shengzhou-jiangxin-motor-technology-co-ltd-to-attend-the-140th.html</x:v>
      </x:c>
      <x:c r="O2" s="13" t="str">
        <x:v>Не посещено</x:v>
      </x:c>
      <x:c r="P2" s="13" t="str">
        <x:v>Нет</x:v>
      </x:c>
      <x:c r="Q2" s="13"/>
      <x:c r="R2" s="13" t="str">
        <x:f>IF(OR(ISNUMBER(SEARCH("Marine",C2)),ISNUMBER(SEARCH("яхт",C2)),ISNUMBER(SEARCH("генератор",C2)),ISNUMBER(SEARCH("Battery",C2)),ISNUMBER(SEARCH("Inverter",C2)),ISNUMBER(SEARCH("motor",C2)),ISNUMBER(SEARCH("Lighting",C2)),ISNUMBER(SEARCH("Audio",C2))),"YACHT / MARINE",IF(OR(ISNUMBER(SEARCH("ATV",C2)),ISNUMBER(SEARCH("UTV",C2)),ISNUMBER(SEARCH("snow",C2)),ISNUMBER(SEARCH("winter",C2))),"POWERSPORTS / WINTER",IF(OR(ISNUMBER(SEARCH("Auto",C2)),ISNUMBER(SEARCH("EV",C2)),ISNUMBER(SEARCH("vehicle",C2))),"AUTO / EV","INNOVATION / OTHER")))</x:f>
        <x:v>INNOVATION / OTHER</x:v>
      </x:c>
      <x:c r="S2" s="13" t="str">
        <x:v>Подтверждённая точка</x:v>
      </x:c>
    </x:row>
    <x:row r="3">
      <x:c r="A3" s="13" t="n">
        <x:v>2</x:v>
      </x:c>
      <x:c r="B3" s="13" t="str">
        <x:v>A</x:v>
      </x:c>
      <x:c r="C3" s="13" t="str">
        <x:v>Моторы / BLDC / servo</x:v>
      </x:c>
      <x:c r="D3" s="13" t="str">
        <x:v>Keli Motor</x:v>
      </x:c>
      <x:c r="E3" s="13" t="str">
        <x:v>4.2</x:v>
      </x:c>
      <x:c r="F3" s="13" t="str">
        <x:v>4.2I52-55</x:v>
      </x:c>
      <x:c r="G3" s="13" t="str">
        <x:v>BLDC, servo, stepper, universal motors, pumps/fans</x:v>
      </x:c>
      <x:c r="H3" s="13" t="str">
        <x:v>Сильный инженерный производитель; можно обсуждать моторы/насосы под яхту и электротехнику, даже если готового marine propulsion нет.</x:v>
      </x:c>
      <x:c r="I3" s="13" t="str">
        <x:v>Нужны high-torque BLDC/PMSM; IP67; salt-mist; 24–96V; custom controller; low-noise; marine cooling.</x:v>
      </x:c>
      <x:c r="J3" s="13" t="str">
        <x:v>Не подтверждён публично</x:v>
      </x:c>
      <x:c r="K3" s="13" t="str">
        <x:v>Контакт через сайт</x:v>
      </x:c>
      <x:c r="L3" s="13" t="str">
        <x:v>https://www.kelimicromotor.com/</x:v>
      </x:c>
      <x:c r="M3" s="13" t="str">
        <x:v>ТОЧНЫЙ СТЕНД подтверждён компанией</x:v>
      </x:c>
      <x:c r="N3" s="13" t="str">
        <x:v>https://www.linkedin.com/pulse/source-smarter-140th-canton-fair-motion-thermal-fluid-tina-hu-aui8c</x:v>
      </x:c>
      <x:c r="O3" s="13" t="str">
        <x:v>Не посещено</x:v>
      </x:c>
      <x:c r="P3" s="13" t="str">
        <x:v>Нет</x:v>
      </x:c>
      <x:c r="Q3" s="13"/>
      <x:c r="R3" s="13" t="str">
        <x:f>IF(OR(ISNUMBER(SEARCH("Marine",C3)),ISNUMBER(SEARCH("яхт",C3)),ISNUMBER(SEARCH("генератор",C3)),ISNUMBER(SEARCH("Battery",C3)),ISNUMBER(SEARCH("Inverter",C3)),ISNUMBER(SEARCH("motor",C3)),ISNUMBER(SEARCH("Lighting",C3)),ISNUMBER(SEARCH("Audio",C3))),"YACHT / MARINE",IF(OR(ISNUMBER(SEARCH("ATV",C3)),ISNUMBER(SEARCH("UTV",C3)),ISNUMBER(SEARCH("snow",C3)),ISNUMBER(SEARCH("winter",C3))),"POWERSPORTS / WINTER",IF(OR(ISNUMBER(SEARCH("Auto",C3)),ISNUMBER(SEARCH("EV",C3)),ISNUMBER(SEARCH("vehicle",C3))),"AUTO / EV","INNOVATION / OTHER")))</x:f>
        <x:v>INNOVATION / OTHER</x:v>
      </x:c>
      <x:c r="S3" s="13" t="str">
        <x:v>Подтверждённая точка</x:v>
      </x:c>
    </x:row>
    <x:row r="4">
      <x:c r="A4" s="13" t="n">
        <x:v>3</x:v>
      </x:c>
      <x:c r="B4" s="13" t="str">
        <x:v>A</x:v>
      </x:c>
      <x:c r="C4" s="13" t="str">
        <x:v>Marine hardware / 316SS</x:v>
      </x:c>
      <x:c r="D4" s="13" t="str">
        <x:v>Shandong Aleader Machinery Manufacturing</x:v>
      </x:c>
      <x:c r="E4" s="13" t="str">
        <x:v>9.1</x:v>
      </x:c>
      <x:c r="F4" s="13" t="str">
        <x:v>9.1K10</x:v>
      </x:c>
      <x:c r="G4" s="13" t="str">
        <x:v>Marine hardware, investment castings, pump/valve parts, stainless components</x:v>
      </x:c>
      <x:c r="H4" s="13" t="str">
        <x:v>Одна из самых точных точек под яхтенную фурнитуру и OEM: 316/316L, детали по образцу/чертежу.</x:v>
      </x:c>
      <x:c r="I4" s="13" t="str">
        <x:v>Показать latch/hinge/handle/cleat; запросить AISI316L certificate, mirror polish, salt spray, MOQ, tooling, sample, OEM.</x:v>
      </x:c>
      <x:c r="J4" s="13" t="str">
        <x:v>Уточнить на стенде</x:v>
      </x:c>
      <x:c r="K4" s="13" t="str">
        <x:v>Через Canton Fair 365 / сайт</x:v>
      </x:c>
      <x:c r="L4" s="13" t="str">
        <x:v>https://www.aleader-china.com/</x:v>
      </x:c>
      <x:c r="M4" s="13" t="str">
        <x:v>ОФИЦИАЛЬНЫЙ Canton Fair 365</x:v>
      </x:c>
      <x:c r="N4" s="13" t="str">
        <x:v>https://365.cantonfair.org.cn/en-US/shops?id=2060814064</x:v>
      </x:c>
      <x:c r="O4" s="13" t="str">
        <x:v>Не посещено</x:v>
      </x:c>
      <x:c r="P4" s="13" t="str">
        <x:v>Нет</x:v>
      </x:c>
      <x:c r="Q4" s="13"/>
      <x:c r="R4" s="13" t="str">
        <x:f>IF(OR(ISNUMBER(SEARCH("Marine",C4)),ISNUMBER(SEARCH("яхт",C4)),ISNUMBER(SEARCH("генератор",C4)),ISNUMBER(SEARCH("Battery",C4)),ISNUMBER(SEARCH("Inverter",C4)),ISNUMBER(SEARCH("motor",C4)),ISNUMBER(SEARCH("Lighting",C4)),ISNUMBER(SEARCH("Audio",C4))),"YACHT / MARINE",IF(OR(ISNUMBER(SEARCH("ATV",C4)),ISNUMBER(SEARCH("UTV",C4)),ISNUMBER(SEARCH("snow",C4)),ISNUMBER(SEARCH("winter",C4))),"POWERSPORTS / WINTER",IF(OR(ISNUMBER(SEARCH("Auto",C4)),ISNUMBER(SEARCH("EV",C4)),ISNUMBER(SEARCH("vehicle",C4))),"AUTO / EV","INNOVATION / OTHER")))</x:f>
        <x:v>YACHT / MARINE</x:v>
      </x:c>
      <x:c r="S4" s="13" t="str">
        <x:v>Подтверждённая точка</x:v>
      </x:c>
    </x:row>
    <x:row r="5">
      <x:c r="A5" s="13" t="n">
        <x:v>4</x:v>
      </x:c>
      <x:c r="B5" s="13" t="str">
        <x:v>A</x:v>
      </x:c>
      <x:c r="C5" s="13" t="str">
        <x:v>Marine interior / boat seats</x:v>
      </x:c>
      <x:c r="D5" s="13" t="str">
        <x:v>Xiamen Easepal Enterprises</x:v>
      </x:c>
      <x:c r="E5" s="13" t="str">
        <x:v>10.3</x:v>
      </x:c>
      <x:c r="F5" s="13" t="str">
        <x:v>10.3D43-44</x:v>
      </x:c>
      <x:c r="G5" s="13" t="str">
        <x:v>Boat seats, Bimini tops, boat covers, RV/car covers</x:v>
      </x:c>
      <x:c r="H5" s="13" t="str">
        <x:v>Готовая marine-фабрика: можно получить кресла, тенты и OEM-линейку для яхт/катеров.</x:v>
      </x:c>
      <x:c r="I5" s="13" t="str">
        <x:v>Marine vinyl? UV/salt resistance? foam density? stainless frame? fire-retardant? custom upholstery/logo? MOQ/sample?</x:v>
      </x:c>
      <x:c r="J5" s="13" t="str">
        <x:v>Уточнить на стенде</x:v>
      </x:c>
      <x:c r="K5" s="13" t="str">
        <x:v>Через сайт</x:v>
      </x:c>
      <x:c r="L5" s="13" t="str">
        <x:v>https://www.easepal.com/</x:v>
      </x:c>
      <x:c r="M5" s="13" t="str">
        <x:v>ТОЧНЫЙ СТЕНД + marine ассортимент подтверждены сайтом</x:v>
      </x:c>
      <x:c r="N5" s="13" t="str">
        <x:v>https://www.easepal.com/</x:v>
      </x:c>
      <x:c r="O5" s="13" t="str">
        <x:v>Не посещено</x:v>
      </x:c>
      <x:c r="P5" s="13" t="str">
        <x:v>Нет</x:v>
      </x:c>
      <x:c r="Q5" s="13"/>
      <x:c r="R5" s="13" t="str">
        <x:f>IF(OR(ISNUMBER(SEARCH("Marine",C5)),ISNUMBER(SEARCH("яхт",C5)),ISNUMBER(SEARCH("генератор",C5)),ISNUMBER(SEARCH("Battery",C5)),ISNUMBER(SEARCH("Inverter",C5)),ISNUMBER(SEARCH("motor",C5)),ISNUMBER(SEARCH("Lighting",C5)),ISNUMBER(SEARCH("Audio",C5))),"YACHT / MARINE",IF(OR(ISNUMBER(SEARCH("ATV",C5)),ISNUMBER(SEARCH("UTV",C5)),ISNUMBER(SEARCH("snow",C5)),ISNUMBER(SEARCH("winter",C5))),"POWERSPORTS / WINTER",IF(OR(ISNUMBER(SEARCH("Auto",C5)),ISNUMBER(SEARCH("EV",C5)),ISNUMBER(SEARCH("vehicle",C5))),"AUTO / EV","INNOVATION / OTHER")))</x:f>
        <x:v>YACHT / MARINE</x:v>
      </x:c>
      <x:c r="S5" s="13" t="str">
        <x:v>Подтверждённая точка</x:v>
      </x:c>
    </x:row>
    <x:row r="6">
      <x:c r="A6" s="13" t="n">
        <x:v>5</x:v>
      </x:c>
      <x:c r="B6" s="13" t="str">
        <x:v>A</x:v>
      </x:c>
      <x:c r="C6" s="13" t="str">
        <x:v>Outdoor / winter equipment</x:v>
      </x:c>
      <x:c r="D6" s="13" t="str">
        <x:v>DAYE Group + AL-KO</x:v>
      </x:c>
      <x:c r="E6" s="13" t="str">
        <x:v>11.2</x:v>
      </x:c>
      <x:c r="F6" s="13" t="str">
        <x:v>11.2G35-38; 11.2H09-12</x:v>
      </x:c>
      <x:c r="G6" s="13" t="str">
        <x:v>Full garden machinery, battery platform, robotic/ride-on machinery</x:v>
      </x:c>
      <x:c r="H6" s="13" t="str">
        <x:v>DAYE выпускает в том числе snow blowers; на стенде можно получить прямой контакт фабрики по зимней технике и battery platform.</x:v>
      </x:c>
      <x:c r="I6" s="13" t="str">
        <x:v>Попросить snow blower / snow thrower catalog; tracked/2-stage; electric start; 18/36/40/80V; low-temp battery; OEM; Russia specs.</x:v>
      </x:c>
      <x:c r="J6" s="13" t="str">
        <x:v>Уточнить на стенде</x:v>
      </x:c>
      <x:c r="K6" s="13" t="str">
        <x:v>Контакт через DAYE / AL-KO</x:v>
      </x:c>
      <x:c r="L6" s="13" t="str">
        <x:v>https://www.dayegroup.com/</x:v>
      </x:c>
      <x:c r="M6" s="13" t="str">
        <x:v>ТОЧНЫЙ СТЕНД подтверждён DAYE</x:v>
      </x:c>
      <x:c r="N6" s="13" t="str">
        <x:v>https://cn.linkedin.com/company/dayegroup</x:v>
      </x:c>
      <x:c r="O6" s="13" t="str">
        <x:v>Не посещено</x:v>
      </x:c>
      <x:c r="P6" s="13" t="str">
        <x:v>Нет</x:v>
      </x:c>
      <x:c r="Q6" s="13"/>
      <x:c r="R6" s="13" t="str">
        <x:f>IF(OR(ISNUMBER(SEARCH("Marine",C6)),ISNUMBER(SEARCH("яхт",C6)),ISNUMBER(SEARCH("генератор",C6)),ISNUMBER(SEARCH("Battery",C6)),ISNUMBER(SEARCH("Inverter",C6)),ISNUMBER(SEARCH("motor",C6)),ISNUMBER(SEARCH("Lighting",C6)),ISNUMBER(SEARCH("Audio",C6))),"YACHT / MARINE",IF(OR(ISNUMBER(SEARCH("ATV",C6)),ISNUMBER(SEARCH("UTV",C6)),ISNUMBER(SEARCH("snow",C6)),ISNUMBER(SEARCH("winter",C6))),"POWERSPORTS / WINTER",IF(OR(ISNUMBER(SEARCH("Auto",C6)),ISNUMBER(SEARCH("EV",C6)),ISNUMBER(SEARCH("vehicle",C6))),"AUTO / EV","INNOVATION / OTHER")))</x:f>
        <x:v>POWERSPORTS / WINTER</x:v>
      </x:c>
      <x:c r="S6" s="13" t="str">
        <x:v>Подтверждённая точка</x:v>
      </x:c>
    </x:row>
    <x:row r="7">
      <x:c r="A7" s="13" t="n">
        <x:v>6</x:v>
      </x:c>
      <x:c r="B7" s="13" t="str">
        <x:v>A</x:v>
      </x:c>
      <x:c r="C7" s="13" t="str">
        <x:v>ATV / UTV</x:v>
      </x:c>
      <x:c r="D7" s="13" t="str">
        <x:v>ODES</x:v>
      </x:c>
      <x:c r="E7" s="13" t="str">
        <x:v>14.1</x:v>
      </x:c>
      <x:c r="F7" s="13" t="str">
        <x:v>14.1D33-34; 14.1E09-11</x:v>
      </x:c>
      <x:c r="G7" s="13" t="str">
        <x:v>Off-road powersports lineup</x:v>
      </x:c>
      <x:c r="H7" s="13" t="str">
        <x:v>Конкретная powersports-точка; оценить технику, платформы, экспорт и возможные новые модели.</x:v>
      </x:c>
      <x:c r="I7" s="13" t="str">
        <x:v>ATV/UTV list, engine options, EPS, 4x4, homologation, FOB/EXW, MOQ, spare parts, dealer terms.</x:v>
      </x:c>
      <x:c r="J7" s="13" t="str">
        <x:v>Уточнить на стенде</x:v>
      </x:c>
      <x:c r="K7" s="13" t="str">
        <x:v>Контакт на стенде</x:v>
      </x:c>
      <x:c r="L7" s="13" t="str">
        <x:v>https://odespowersports.com/</x:v>
      </x:c>
      <x:c r="M7" s="13" t="str">
        <x:v>ТОЧНЫЙ СТЕНД подтверждён брендом</x:v>
      </x:c>
      <x:c r="N7" s="13" t="str">
        <x:v>https://www.facebook.com/aodesglobal/posts/one-day-to-gothe-140th-canton-fair-starts-tomorrowcome-visit-odes-at-hall-141-bo/1143245478655743/</x:v>
      </x:c>
      <x:c r="O7" s="13" t="str">
        <x:v>Не посещено</x:v>
      </x:c>
      <x:c r="P7" s="13" t="str">
        <x:v>Нет</x:v>
      </x:c>
      <x:c r="Q7" s="13"/>
      <x:c r="R7" s="13" t="str">
        <x:f>IF(OR(ISNUMBER(SEARCH("Marine",C7)),ISNUMBER(SEARCH("яхт",C7)),ISNUMBER(SEARCH("генератор",C7)),ISNUMBER(SEARCH("Battery",C7)),ISNUMBER(SEARCH("Inverter",C7)),ISNUMBER(SEARCH("motor",C7)),ISNUMBER(SEARCH("Lighting",C7)),ISNUMBER(SEARCH("Audio",C7))),"YACHT / MARINE",IF(OR(ISNUMBER(SEARCH("ATV",C7)),ISNUMBER(SEARCH("UTV",C7)),ISNUMBER(SEARCH("snow",C7)),ISNUMBER(SEARCH("winter",C7))),"POWERSPORTS / WINTER",IF(OR(ISNUMBER(SEARCH("Auto",C7)),ISNUMBER(SEARCH("EV",C7)),ISNUMBER(SEARCH("vehicle",C7))),"AUTO / EV","INNOVATION / OTHER")))</x:f>
        <x:v>POWERSPORTS / WINTER</x:v>
      </x:c>
      <x:c r="S7" s="13" t="str">
        <x:v>Подтверждённая точка</x:v>
      </x:c>
    </x:row>
    <x:row r="8">
      <x:c r="A8" s="13" t="n">
        <x:v>7</x:v>
      </x:c>
      <x:c r="B8" s="13" t="str">
        <x:v>A</x:v>
      </x:c>
      <x:c r="C8" s="13" t="str">
        <x:v>ATV / UTV / electric off-road</x:v>
      </x:c>
      <x:c r="D8" s="13" t="str">
        <x:v>HIGHPER</x:v>
      </x:c>
      <x:c r="E8" s="13" t="str">
        <x:v>14.1</x:v>
      </x:c>
      <x:c r="F8" s="13" t="str">
        <x:v>14.1B41-42</x:v>
      </x:c>
      <x:c r="G8" s="13" t="str">
        <x:v>Side-by-side UTV, ATV, go-karts, electric dirt bikes</x:v>
      </x:c>
      <x:c r="H8" s="13" t="str">
        <x:v>Прямой производитель off-road техники; live display и OEM/ODM обсуждение на месте.</x:v>
      </x:c>
      <x:c r="I8" s="13" t="str">
        <x:v>Full-size ATV/UTV, electric versions, engine/battery, EPS, 4WD, price, MOQ, certifications, OEM/ODM, spare-parts package.</x:v>
      </x:c>
      <x:c r="J8" s="13" t="str">
        <x:v>Уточнить на стенде</x:v>
      </x:c>
      <x:c r="K8" s="13" t="str">
        <x:v>sales@highper.com</x:v>
      </x:c>
      <x:c r="L8" s="13" t="str">
        <x:v>https://www.high-per.com/</x:v>
      </x:c>
      <x:c r="M8" s="13" t="str">
        <x:v>ТОЧНЫЙ СТЕНД подтверждён сайтом</x:v>
      </x:c>
      <x:c r="N8" s="13" t="str">
        <x:v>https://www.high-per.com/news/highper-to-showcase-comprehensive-off-road-vehicle-lineup-at-the-140th-canton-fair/</x:v>
      </x:c>
      <x:c r="O8" s="13" t="str">
        <x:v>Не посещено</x:v>
      </x:c>
      <x:c r="P8" s="13" t="str">
        <x:v>Нет</x:v>
      </x:c>
      <x:c r="Q8" s="13"/>
      <x:c r="R8" s="13" t="str">
        <x:f>IF(OR(ISNUMBER(SEARCH("Marine",C8)),ISNUMBER(SEARCH("яхт",C8)),ISNUMBER(SEARCH("генератор",C8)),ISNUMBER(SEARCH("Battery",C8)),ISNUMBER(SEARCH("Inverter",C8)),ISNUMBER(SEARCH("motor",C8)),ISNUMBER(SEARCH("Lighting",C8)),ISNUMBER(SEARCH("Audio",C8))),"YACHT / MARINE",IF(OR(ISNUMBER(SEARCH("ATV",C8)),ISNUMBER(SEARCH("UTV",C8)),ISNUMBER(SEARCH("snow",C8)),ISNUMBER(SEARCH("winter",C8))),"POWERSPORTS / WINTER",IF(OR(ISNUMBER(SEARCH("Auto",C8)),ISNUMBER(SEARCH("EV",C8)),ISNUMBER(SEARCH("vehicle",C8))),"AUTO / EV","INNOVATION / OTHER")))</x:f>
        <x:v>POWERSPORTS / WINTER</x:v>
      </x:c>
      <x:c r="S8" s="13" t="str">
        <x:v>Подтверждённая точка</x:v>
      </x:c>
    </x:row>
    <x:row r="9">
      <x:c r="A9" s="13" t="n">
        <x:v>8</x:v>
      </x:c>
      <x:c r="B9" s="13" t="str">
        <x:v>A</x:v>
      </x:c>
      <x:c r="C9" s="13" t="str">
        <x:v>Lighting / rugged OEM</x:v>
      </x:c>
      <x:c r="D9" s="13" t="str">
        <x:v>Oteshen Lighting</x:v>
      </x:c>
      <x:c r="E9" s="13" t="str">
        <x:v>14.4</x:v>
      </x:c>
      <x:c r="F9" s="13" t="str">
        <x:v>14.4G14</x:v>
      </x:c>
      <x:c r="G9" s="13" t="str">
        <x:v>Outdoor waterproof LED, wall/flood/solar, OEM/ODM</x:v>
      </x:c>
      <x:c r="H9" s="13" t="str">
        <x:v>Не marine-бренд, но точная фабрика для кастомного влагозащищённого освещения; можно обсуждать корпуса/оптику под яхту.</x:v>
      </x:c>
      <x:c r="I9" s="13" t="str">
        <x:v>12/24V DC? IP67/IP68? 316SS/aluminum? salt-spray? UV? custom CCT/beam? underwater feasibility? OEM mold?</x:v>
      </x:c>
      <x:c r="J9" s="13" t="str">
        <x:v>Уточнить на стенде</x:v>
      </x:c>
      <x:c r="K9" s="13" t="str">
        <x:v>Контакт через сайт</x:v>
      </x:c>
      <x:c r="L9" s="13" t="str">
        <x:v>https://www.oteshen.com/</x:v>
      </x:c>
      <x:c r="M9" s="13" t="str">
        <x:v>ТОЧНЫЙ СТЕНД подтверждён компанией</x:v>
      </x:c>
      <x:c r="N9" s="13" t="str">
        <x:v>https://www.oteshen.com/canton-fair-2026-oteshen-lighting-booth</x:v>
      </x:c>
      <x:c r="O9" s="13" t="str">
        <x:v>Не посещено</x:v>
      </x:c>
      <x:c r="P9" s="13" t="str">
        <x:v>Нет</x:v>
      </x:c>
      <x:c r="Q9" s="13"/>
      <x:c r="R9" s="13" t="str">
        <x:f>IF(OR(ISNUMBER(SEARCH("Marine",C9)),ISNUMBER(SEARCH("яхт",C9)),ISNUMBER(SEARCH("генератор",C9)),ISNUMBER(SEARCH("Battery",C9)),ISNUMBER(SEARCH("Inverter",C9)),ISNUMBER(SEARCH("motor",C9)),ISNUMBER(SEARCH("Lighting",C9)),ISNUMBER(SEARCH("Audio",C9))),"YACHT / MARINE",IF(OR(ISNUMBER(SEARCH("ATV",C9)),ISNUMBER(SEARCH("UTV",C9)),ISNUMBER(SEARCH("snow",C9)),ISNUMBER(SEARCH("winter",C9))),"POWERSPORTS / WINTER",IF(OR(ISNUMBER(SEARCH("Auto",C9)),ISNUMBER(SEARCH("EV",C9)),ISNUMBER(SEARCH("vehicle",C9))),"AUTO / EV","INNOVATION / OTHER")))</x:f>
        <x:v>YACHT / MARINE</x:v>
      </x:c>
      <x:c r="S9" s="13" t="str">
        <x:v>Подтверждённая точка</x:v>
      </x:c>
    </x:row>
    <x:row r="10">
      <x:c r="A10" s="13" t="n">
        <x:v>9</x:v>
      </x:c>
      <x:c r="B10" s="13" t="str">
        <x:v>A</x:v>
      </x:c>
      <x:c r="C10" s="13" t="str">
        <x:v>ATV + power machinery</x:v>
      </x:c>
      <x:c r="D10" s="13" t="str">
        <x:v>Chongqing Diligence / KINGGANG</x:v>
      </x:c>
      <x:c r="E10" s="13" t="str">
        <x:v>15.2</x:v>
      </x:c>
      <x:c r="F10" s="13" t="str">
        <x:v>15.2A08-09</x:v>
      </x:c>
      <x:c r="G10" s="13" t="str">
        <x:v>ATVs; отдельные стенды компании также показывают generators/pumps/engines</x:v>
      </x:c>
      <x:c r="H10" s="13" t="str">
        <x:v>Очень удобная точка: один производитель закрывает ATV и силовую технику.</x:v>
      </x:c>
      <x:c r="I10" s="13" t="str">
        <x:v>ATV 4x4/EPS/engine sizes; FOB/EXW; spare parts; OEM. Затем запросить контакт команды генераторов этой же фабрики.</x:v>
      </x:c>
      <x:c r="J10" s="13" t="str">
        <x:v>Уточнить на стенде</x:v>
      </x:c>
      <x:c r="K10" s="13" t="str">
        <x:v>Через сайт AEROBS</x:v>
      </x:c>
      <x:c r="L10" s="13" t="str">
        <x:v>https://www.aerobspower.com/</x:v>
      </x:c>
      <x:c r="M10" s="13" t="str">
        <x:v>ТОЧНЫЙ СТЕНД подтверждён компанией</x:v>
      </x:c>
      <x:c r="N10" s="13" t="str">
        <x:v>https://www.aerobspower.com/Meet-Chongqing-Diligence-at-Canton-Fair-2026-Premium-Generators-Water-Pumps-ATVs-on-Display-id02868135.html</x:v>
      </x:c>
      <x:c r="O10" s="13" t="str">
        <x:v>Не посещено</x:v>
      </x:c>
      <x:c r="P10" s="13" t="str">
        <x:v>Нет</x:v>
      </x:c>
      <x:c r="Q10" s="13"/>
      <x:c r="R10" s="13" t="str">
        <x:f>IF(OR(ISNUMBER(SEARCH("Marine",C10)),ISNUMBER(SEARCH("яхт",C10)),ISNUMBER(SEARCH("генератор",C10)),ISNUMBER(SEARCH("Battery",C10)),ISNUMBER(SEARCH("Inverter",C10)),ISNUMBER(SEARCH("motor",C10)),ISNUMBER(SEARCH("Lighting",C10)),ISNUMBER(SEARCH("Audio",C10))),"YACHT / MARINE",IF(OR(ISNUMBER(SEARCH("ATV",C10)),ISNUMBER(SEARCH("UTV",C10)),ISNUMBER(SEARCH("snow",C10)),ISNUMBER(SEARCH("winter",C10))),"POWERSPORTS / WINTER",IF(OR(ISNUMBER(SEARCH("Auto",C10)),ISNUMBER(SEARCH("EV",C10)),ISNUMBER(SEARCH("vehicle",C10))),"AUTO / EV","INNOVATION / OTHER")))</x:f>
        <x:v>POWERSPORTS / WINTER</x:v>
      </x:c>
      <x:c r="S10" s="13" t="str">
        <x:v>Подтверждённая точка</x:v>
      </x:c>
    </x:row>
    <x:row r="11">
      <x:c r="A11" s="13" t="n">
        <x:v>10</x:v>
      </x:c>
      <x:c r="B11" s="13" t="str">
        <x:v>A</x:v>
      </x:c>
      <x:c r="C11" s="13" t="str">
        <x:v>ATV battery / cold-start</x:v>
      </x:c>
      <x:c r="D11" s="13" t="str">
        <x:v>LIYON Battery</x:v>
      </x:c>
      <x:c r="E11" s="13" t="str">
        <x:v>15.2</x:v>
      </x:c>
      <x:c r="F11" s="13" t="str">
        <x:v>15.2D14-15</x:v>
      </x:c>
      <x:c r="G11" s="13" t="str">
        <x:v>Motorcycle and ATV AGM batteries</x:v>
      </x:c>
      <x:c r="H11" s="13" t="str">
        <x:v>Полезно для ATV/UTV и холодного климата; даст прямой battery supplier.</x:v>
      </x:c>
      <x:c r="I11" s="13" t="str">
        <x:v>CCA at -18/-30C, vibration, AGM/GEL, OEM brand, MOQ, EAC/CE, warranty, ATV/UTV references.</x:v>
      </x:c>
      <x:c r="J11" s="13" t="str">
        <x:v>WhatsApp +86 19112031658</x:v>
      </x:c>
      <x:c r="K11" s="13" t="str">
        <x:v>WeChat: Ellabatt</x:v>
      </x:c>
      <x:c r="L11" s="13" t="str">
        <x:v>—</x:v>
      </x:c>
      <x:c r="M11" s="13" t="str">
        <x:v>ТОЧНЫЙ СТЕНД + прямой контакт подтверждены</x:v>
      </x:c>
      <x:c r="N11" s="13" t="str">
        <x:v>https://cn.linkedin.com/in/liyon-moto-battery-176009269</x:v>
      </x:c>
      <x:c r="O11" s="13" t="str">
        <x:v>Не посещено</x:v>
      </x:c>
      <x:c r="P11" s="13" t="str">
        <x:v>Нет</x:v>
      </x:c>
      <x:c r="Q11" s="13"/>
      <x:c r="R11" s="13" t="str">
        <x:f>IF(OR(ISNUMBER(SEARCH("Marine",C11)),ISNUMBER(SEARCH("яхт",C11)),ISNUMBER(SEARCH("генератор",C11)),ISNUMBER(SEARCH("Battery",C11)),ISNUMBER(SEARCH("Inverter",C11)),ISNUMBER(SEARCH("motor",C11)),ISNUMBER(SEARCH("Lighting",C11)),ISNUMBER(SEARCH("Audio",C11))),"YACHT / MARINE",IF(OR(ISNUMBER(SEARCH("ATV",C11)),ISNUMBER(SEARCH("UTV",C11)),ISNUMBER(SEARCH("snow",C11)),ISNUMBER(SEARCH("winter",C11))),"POWERSPORTS / WINTER",IF(OR(ISNUMBER(SEARCH("Auto",C11)),ISNUMBER(SEARCH("EV",C11)),ISNUMBER(SEARCH("vehicle",C11))),"AUTO / EV","INNOVATION / OTHER")))</x:f>
        <x:v>YACHT / MARINE</x:v>
      </x:c>
      <x:c r="S11" s="13" t="str">
        <x:v>Подтверждённая точка</x:v>
      </x:c>
    </x:row>
    <x:row r="12">
      <x:c r="A12" s="13" t="n">
        <x:v>11</x:v>
      </x:c>
      <x:c r="B12" s="13" t="str">
        <x:v>A</x:v>
      </x:c>
      <x:c r="C12" s="13" t="str">
        <x:v>LiFePO4 / energy storage</x:v>
      </x:c>
      <x:c r="D12" s="13" t="str">
        <x:v>KIJO Group</x:v>
      </x:c>
      <x:c r="E12" s="13" t="str">
        <x:v>15.2</x:v>
      </x:c>
      <x:c r="F12" s="13" t="str">
        <x:v>15.2G34-35</x:v>
      </x:c>
      <x:c r="G12" s="13" t="str">
        <x:v>Lithium and energy storage battery solutions</x:v>
      </x:c>
      <x:c r="H12" s="13" t="str">
        <x:v>Прямой крупный аккумуляторный производитель; нужен для яхт, electric ATV/snowmobile и автономной энергетики.</x:v>
      </x:c>
      <x:c r="I12" s="13" t="str">
        <x:v>24/48/72/96V custom pack; BMS CAN; low-temp heating; high discharge; IP67; UN38.3; custom enclosure; OEM MOQ.</x:v>
      </x:c>
      <x:c r="J12" s="13" t="str">
        <x:v>Уточнить на стенде</x:v>
      </x:c>
      <x:c r="K12" s="13" t="str">
        <x:v>Контакт через сайт</x:v>
      </x:c>
      <x:c r="L12" s="13" t="str">
        <x:v>https://www.kijo-battery.com/</x:v>
      </x:c>
      <x:c r="M12" s="13" t="str">
        <x:v>ТОЧНЫЙ СТЕНД подтверждён компанией</x:v>
      </x:c>
      <x:c r="N12" s="13" t="str">
        <x:v>https://www.kijo-battery.com/kijo-group-to-participate-in-the-140th-canton-fair-with-advanced-lithium-and-energy-storage-battery-solutions.html</x:v>
      </x:c>
      <x:c r="O12" s="13" t="str">
        <x:v>Не посещено</x:v>
      </x:c>
      <x:c r="P12" s="13" t="str">
        <x:v>Нет</x:v>
      </x:c>
      <x:c r="Q12" s="13"/>
      <x:c r="R12" s="13" t="str">
        <x:f>IF(OR(ISNUMBER(SEARCH("Marine",C12)),ISNUMBER(SEARCH("яхт",C12)),ISNUMBER(SEARCH("генератор",C12)),ISNUMBER(SEARCH("Battery",C12)),ISNUMBER(SEARCH("Inverter",C12)),ISNUMBER(SEARCH("motor",C12)),ISNUMBER(SEARCH("Lighting",C12)),ISNUMBER(SEARCH("Audio",C12))),"YACHT / MARINE",IF(OR(ISNUMBER(SEARCH("ATV",C12)),ISNUMBER(SEARCH("UTV",C12)),ISNUMBER(SEARCH("snow",C12)),ISNUMBER(SEARCH("winter",C12))),"POWERSPORTS / WINTER",IF(OR(ISNUMBER(SEARCH("Auto",C12)),ISNUMBER(SEARCH("EV",C12)),ISNUMBER(SEARCH("vehicle",C12))),"AUTO / EV","INNOVATION / OTHER")))</x:f>
        <x:v>INNOVATION / OTHER</x:v>
      </x:c>
      <x:c r="S12" s="13" t="str">
        <x:v>Подтверждённая точка</x:v>
      </x:c>
    </x:row>
    <x:row r="13">
      <x:c r="A13" s="13" t="n">
        <x:v>12</x:v>
      </x:c>
      <x:c r="B13" s="13" t="str">
        <x:v>A</x:v>
      </x:c>
      <x:c r="C13" s="13" t="str">
        <x:v>LiFePO4 / e-mobility</x:v>
      </x:c>
      <x:c r="D13" s="13" t="str">
        <x:v>FEBATT</x:v>
      </x:c>
      <x:c r="E13" s="13" t="str">
        <x:v>15.2</x:v>
      </x:c>
      <x:c r="F13" s="13" t="str">
        <x:v>15.2H06</x:v>
      </x:c>
      <x:c r="G13" s="13" t="str">
        <x:v>Lithium battery systems for e-mobility and industrial applications</x:v>
      </x:c>
      <x:c r="H13" s="13" t="str">
        <x:v>Очень полезна под electric propulsion, ATV/UTV/snowmobile: можно обсудить custom high-discharge packs.</x:v>
      </x:c>
      <x:c r="I13" s="13" t="str">
        <x:v>Low-temp discharge; heating; 72/96V; continuous/peak current; CAN; liquid cooling; IP; BMS customization; UN38.3.</x:v>
      </x:c>
      <x:c r="J13" s="13" t="str">
        <x:v>Уточнить на стенде</x:v>
      </x:c>
      <x:c r="K13" s="13" t="str">
        <x:v>Контакт через сайт</x:v>
      </x:c>
      <x:c r="L13" s="13" t="str">
        <x:v>https://www.febatt.com/</x:v>
      </x:c>
      <x:c r="M13" s="13" t="str">
        <x:v>ТОЧНЫЙ СТЕНД подтверждён компанией</x:v>
      </x:c>
      <x:c r="N13" s="13" t="str">
        <x:v>https://www.febatt.com/febatt-140th-canton-fair-2026/</x:v>
      </x:c>
      <x:c r="O13" s="13" t="str">
        <x:v>Не посещено</x:v>
      </x:c>
      <x:c r="P13" s="13" t="str">
        <x:v>Нет</x:v>
      </x:c>
      <x:c r="Q13" s="13"/>
      <x:c r="R13" s="13" t="str">
        <x:f>IF(OR(ISNUMBER(SEARCH("Marine",C13)),ISNUMBER(SEARCH("яхт",C13)),ISNUMBER(SEARCH("генератор",C13)),ISNUMBER(SEARCH("Battery",C13)),ISNUMBER(SEARCH("Inverter",C13)),ISNUMBER(SEARCH("motor",C13)),ISNUMBER(SEARCH("Lighting",C13)),ISNUMBER(SEARCH("Audio",C13))),"YACHT / MARINE",IF(OR(ISNUMBER(SEARCH("ATV",C13)),ISNUMBER(SEARCH("UTV",C13)),ISNUMBER(SEARCH("snow",C13)),ISNUMBER(SEARCH("winter",C13))),"POWERSPORTS / WINTER",IF(OR(ISNUMBER(SEARCH("Auto",C13)),ISNUMBER(SEARCH("EV",C13)),ISNUMBER(SEARCH("vehicle",C13))),"AUTO / EV","INNOVATION / OTHER")))</x:f>
        <x:v>INNOVATION / OTHER</x:v>
      </x:c>
      <x:c r="S13" s="13" t="str">
        <x:v>Подтверждённая точка</x:v>
      </x:c>
    </x:row>
    <x:row r="14">
      <x:c r="A14" s="13" t="n">
        <x:v>13</x:v>
      </x:c>
      <x:c r="B14" s="13" t="str">
        <x:v>A</x:v>
      </x:c>
      <x:c r="C14" s="13" t="str">
        <x:v>Electric ATV</x:v>
      </x:c>
      <x:c r="D14" s="13" t="str">
        <x:v>Shuangye</x:v>
      </x:c>
      <x:c r="E14" s="13" t="str">
        <x:v>16.2</x:v>
      </x:c>
      <x:c r="F14" s="13" t="str">
        <x:v>16.2C13</x:v>
      </x:c>
      <x:c r="G14" s="13" t="str">
        <x:v>Q7 4WD Electric ATV and new electric models</x:v>
      </x:c>
      <x:c r="H14" s="13" t="str">
        <x:v>Конкретная электрическая ATV-точка — важна для нового направления и сравнения с бензиновыми ATV.</x:v>
      </x:c>
      <x:c r="I14" s="13" t="str">
        <x:v>4WD architecture, motor kW, battery kWh, low-temp range, charging, controller, homologation, FOB, MOQ, OEM.</x:v>
      </x:c>
      <x:c r="J14" s="13" t="str">
        <x:v>Уточнить на стенде</x:v>
      </x:c>
      <x:c r="K14" s="13" t="str">
        <x:v>Контакт через сайт</x:v>
      </x:c>
      <x:c r="L14" s="13" t="str">
        <x:v>https://www.zhsydz.com/</x:v>
      </x:c>
      <x:c r="M14" s="13" t="str">
        <x:v>ТОЧНЫЙ СТЕНД + Q7 4WD ATV подтверждены</x:v>
      </x:c>
      <x:c r="N14" s="13" t="str">
        <x:v>https://www.zhsydz.com/meet-us-at-the-140th-canton-fair-2026/</x:v>
      </x:c>
      <x:c r="O14" s="13" t="str">
        <x:v>Не посещено</x:v>
      </x:c>
      <x:c r="P14" s="13" t="str">
        <x:v>Нет</x:v>
      </x:c>
      <x:c r="Q14" s="13"/>
      <x:c r="R14" s="13" t="str">
        <x:f>IF(OR(ISNUMBER(SEARCH("Marine",C14)),ISNUMBER(SEARCH("яхт",C14)),ISNUMBER(SEARCH("генератор",C14)),ISNUMBER(SEARCH("Battery",C14)),ISNUMBER(SEARCH("Inverter",C14)),ISNUMBER(SEARCH("motor",C14)),ISNUMBER(SEARCH("Lighting",C14)),ISNUMBER(SEARCH("Audio",C14))),"YACHT / MARINE",IF(OR(ISNUMBER(SEARCH("ATV",C14)),ISNUMBER(SEARCH("UTV",C14)),ISNUMBER(SEARCH("snow",C14)),ISNUMBER(SEARCH("winter",C14))),"POWERSPORTS / WINTER",IF(OR(ISNUMBER(SEARCH("Auto",C14)),ISNUMBER(SEARCH("EV",C14)),ISNUMBER(SEARCH("vehicle",C14))),"AUTO / EV","INNOVATION / OTHER")))</x:f>
        <x:v>POWERSPORTS / WINTER</x:v>
      </x:c>
      <x:c r="S14" s="13" t="str">
        <x:v>Подтверждённая точка</x:v>
      </x:c>
    </x:row>
    <x:row r="15">
      <x:c r="A15" s="13" t="n">
        <x:v>14</x:v>
      </x:c>
      <x:c r="B15" s="13" t="str">
        <x:v>A</x:v>
      </x:c>
      <x:c r="C15" s="13" t="str">
        <x:v>Генераторы / насосы</x:v>
      </x:c>
      <x:c r="D15" s="13" t="str">
        <x:v>Chongqing Diligence / AEROBS</x:v>
      </x:c>
      <x:c r="E15" s="13" t="str">
        <x:v>17.1</x:v>
      </x:c>
      <x:c r="F15" s="13" t="str">
        <x:v>17.1I27-28</x:v>
      </x:c>
      <x:c r="G15" s="13" t="str">
        <x:v>Gasoline &amp; diesel generators, water pumps</x:v>
      </x:c>
      <x:c r="H15" s="13" t="str">
        <x:v>Реальная точка по генераторам + насосам; можно обсуждать компактный genset и насосы под onboard/utility.</x:v>
      </x:c>
      <x:c r="I15" s="13" t="str">
        <x:v>5–10kW diesel; water-cooled? soundproof? remote start? 230V/50Hz? pump 12/24V? saltwater materials? OEM?</x:v>
      </x:c>
      <x:c r="J15" s="13" t="str">
        <x:v>Уточнить на стенде</x:v>
      </x:c>
      <x:c r="K15" s="13" t="str">
        <x:v>Через сайт AEROBS</x:v>
      </x:c>
      <x:c r="L15" s="13" t="str">
        <x:v>https://www.aerobspower.com/</x:v>
      </x:c>
      <x:c r="M15" s="13" t="str">
        <x:v>ТОЧНЫЙ СТЕНД подтверждён компанией</x:v>
      </x:c>
      <x:c r="N15" s="13" t="str">
        <x:v>https://www.aerobspower.com/Meet-Chongqing-Diligence-at-Canton-Fair-2026-Premium-Generators-Water-Pumps-ATVs-on-Display-id02868135.html</x:v>
      </x:c>
      <x:c r="O15" s="13" t="str">
        <x:v>Не посещено</x:v>
      </x:c>
      <x:c r="P15" s="13" t="str">
        <x:v>Нет</x:v>
      </x:c>
      <x:c r="Q15" s="13"/>
      <x:c r="R15" s="13" t="str">
        <x:f>IF(OR(ISNUMBER(SEARCH("Marine",C15)),ISNUMBER(SEARCH("яхт",C15)),ISNUMBER(SEARCH("генератор",C15)),ISNUMBER(SEARCH("Battery",C15)),ISNUMBER(SEARCH("Inverter",C15)),ISNUMBER(SEARCH("motor",C15)),ISNUMBER(SEARCH("Lighting",C15)),ISNUMBER(SEARCH("Audio",C15))),"YACHT / MARINE",IF(OR(ISNUMBER(SEARCH("ATV",C15)),ISNUMBER(SEARCH("UTV",C15)),ISNUMBER(SEARCH("snow",C15)),ISNUMBER(SEARCH("winter",C15))),"POWERSPORTS / WINTER",IF(OR(ISNUMBER(SEARCH("Auto",C15)),ISNUMBER(SEARCH("EV",C15)),ISNUMBER(SEARCH("vehicle",C15))),"AUTO / EV","INNOVATION / OTHER")))</x:f>
        <x:v>YACHT / MARINE</x:v>
      </x:c>
      <x:c r="S15" s="13" t="str">
        <x:v>Подтверждённая точка</x:v>
      </x:c>
    </x:row>
    <x:row r="16">
      <x:c r="A16" s="13" t="n">
        <x:v>15</x:v>
      </x:c>
      <x:c r="B16" s="13" t="str">
        <x:v>A</x:v>
      </x:c>
      <x:c r="C16" s="13" t="str">
        <x:v>Генераторы / hybrid power</x:v>
      </x:c>
      <x:c r="D16" s="13" t="str">
        <x:v>Liyu Power</x:v>
      </x:c>
      <x:c r="E16" s="13" t="str">
        <x:v>17.1</x:v>
      </x:c>
      <x:c r="F16" s="13" t="str">
        <x:v>17.1F13-15</x:v>
      </x:c>
      <x:c r="G16" s="13" t="str">
        <x:v>Gas genset / green power systems</x:v>
      </x:c>
      <x:c r="H16" s="13" t="str">
        <x:v>Сильная силовая точка; полезна для крупных generator/hybrid проектов и как benchmark.</x:v>
      </x:c>
      <x:c r="I16" s="13" t="str">
        <x:v>Smallest available kW; gas/diesel alternatives; low-noise; hybrid battery integration; remote monitoring; custom enclosure.</x:v>
      </x:c>
      <x:c r="J16" s="13" t="str">
        <x:v>Уточнить на стенде</x:v>
      </x:c>
      <x:c r="K16" s="13" t="str">
        <x:v>Контакт через бренд</x:v>
      </x:c>
      <x:c r="L16" s="13" t="str">
        <x:v>—</x:v>
      </x:c>
      <x:c r="M16" s="13" t="str">
        <x:v>ТОЧНЫЙ СТЕНД подтверждён компанией</x:v>
      </x:c>
      <x:c r="N16" s="13" t="str">
        <x:v>https://cn.linkedin.com/company/liyu-power</x:v>
      </x:c>
      <x:c r="O16" s="13" t="str">
        <x:v>Не посещено</x:v>
      </x:c>
      <x:c r="P16" s="13" t="str">
        <x:v>Нет</x:v>
      </x:c>
      <x:c r="Q16" s="13"/>
      <x:c r="R16" s="13" t="str">
        <x:f>IF(OR(ISNUMBER(SEARCH("Marine",C16)),ISNUMBER(SEARCH("яхт",C16)),ISNUMBER(SEARCH("генератор",C16)),ISNUMBER(SEARCH("Battery",C16)),ISNUMBER(SEARCH("Inverter",C16)),ISNUMBER(SEARCH("motor",C16)),ISNUMBER(SEARCH("Lighting",C16)),ISNUMBER(SEARCH("Audio",C16))),"YACHT / MARINE",IF(OR(ISNUMBER(SEARCH("ATV",C16)),ISNUMBER(SEARCH("UTV",C16)),ISNUMBER(SEARCH("snow",C16)),ISNUMBER(SEARCH("winter",C16))),"POWERSPORTS / WINTER",IF(OR(ISNUMBER(SEARCH("Auto",C16)),ISNUMBER(SEARCH("EV",C16)),ISNUMBER(SEARCH("vehicle",C16))),"AUTO / EV","INNOVATION / OTHER")))</x:f>
        <x:v>YACHT / MARINE</x:v>
      </x:c>
      <x:c r="S16" s="13" t="str">
        <x:v>Подтверждённая точка</x:v>
      </x:c>
    </x:row>
    <x:row r="17">
      <x:c r="A17" s="13" t="n">
        <x:v>16</x:v>
      </x:c>
      <x:c r="B17" s="13" t="str">
        <x:v>A</x:v>
      </x:c>
      <x:c r="C17" s="13" t="str">
        <x:v>Генераторы / hybrid</x:v>
      </x:c>
      <x:c r="D17" s="13" t="str">
        <x:v>AGG Power Group</x:v>
      </x:c>
      <x:c r="E17" s="13" t="str">
        <x:v>17.1</x:v>
      </x:c>
      <x:c r="F17" s="13" t="str">
        <x:v>17.1F29-31; 17.1G12-14</x:v>
      </x:c>
      <x:c r="G17" s="13" t="str">
        <x:v>New hybrid generator set series + diesel power</x:v>
      </x:c>
      <x:c r="H17" s="13" t="str">
        <x:v>Одна из самых сильных инновационных точек в энергетике: генератор + battery/hybrid logic.</x:v>
      </x:c>
      <x:c r="I17" s="13" t="str">
        <x:v>Compact hybrid system; load sharing; BESS integration; remote monitoring; smallest genset; marine/custom enclosure capability.</x:v>
      </x:c>
      <x:c r="J17" s="13" t="str">
        <x:v>Уточнить на стенде</x:v>
      </x:c>
      <x:c r="K17" s="13" t="str">
        <x:v>Контакт через сайт</x:v>
      </x:c>
      <x:c r="L17" s="13" t="str">
        <x:v>https://www.aggpower.com/</x:v>
      </x:c>
      <x:c r="M17" s="13" t="str">
        <x:v>ТОЧНЫЙ СТЕНД подтверждён компанией</x:v>
      </x:c>
      <x:c r="N17" s="13" t="str">
        <x:v>https://cn.linkedin.com/company/agg-power</x:v>
      </x:c>
      <x:c r="O17" s="13" t="str">
        <x:v>Не посещено</x:v>
      </x:c>
      <x:c r="P17" s="13" t="str">
        <x:v>Нет</x:v>
      </x:c>
      <x:c r="Q17" s="13"/>
      <x:c r="R17" s="13" t="str">
        <x:f>IF(OR(ISNUMBER(SEARCH("Marine",C17)),ISNUMBER(SEARCH("яхт",C17)),ISNUMBER(SEARCH("генератор",C17)),ISNUMBER(SEARCH("Battery",C17)),ISNUMBER(SEARCH("Inverter",C17)),ISNUMBER(SEARCH("motor",C17)),ISNUMBER(SEARCH("Lighting",C17)),ISNUMBER(SEARCH("Audio",C17))),"YACHT / MARINE",IF(OR(ISNUMBER(SEARCH("ATV",C17)),ISNUMBER(SEARCH("UTV",C17)),ISNUMBER(SEARCH("snow",C17)),ISNUMBER(SEARCH("winter",C17))),"POWERSPORTS / WINTER",IF(OR(ISNUMBER(SEARCH("Auto",C17)),ISNUMBER(SEARCH("EV",C17)),ISNUMBER(SEARCH("vehicle",C17))),"AUTO / EV","INNOVATION / OTHER")))</x:f>
        <x:v>YACHT / MARINE</x:v>
      </x:c>
      <x:c r="S17" s="13" t="str">
        <x:v>Подтверждённая точка</x:v>
      </x:c>
    </x:row>
    <x:row r="18">
      <x:c r="A18" s="13" t="n">
        <x:v>17</x:v>
      </x:c>
      <x:c r="B18" s="13" t="str">
        <x:v>A</x:v>
      </x:c>
      <x:c r="C18" s="13" t="str">
        <x:v>Генераторы / custom power</x:v>
      </x:c>
      <x:c r="D18" s="13" t="str">
        <x:v>Hongfu Power</x:v>
      </x:c>
      <x:c r="E18" s="13" t="str">
        <x:v>17.1</x:v>
      </x:c>
      <x:c r="F18" s="13" t="str">
        <x:v>17.1B30-32; 17.1C13</x:v>
      </x:c>
      <x:c r="G18" s="13" t="str">
        <x:v>Diesel generator sets and customized power solutions</x:v>
      </x:c>
      <x:c r="H18" s="13" t="str">
        <x:v>Прямой производитель; хорошо подходит для сравнения цен/компоновок с AGG/MPMC.</x:v>
      </x:c>
      <x:c r="I18" s="13" t="str">
        <x:v>5–20kW; water-cooled; soundproof; remote panel; custom cooling/exhaust; alternator/engine brands; OEM.</x:v>
      </x:c>
      <x:c r="J18" s="13" t="str">
        <x:v>WhatsApp +86 18250168309</x:v>
      </x:c>
      <x:c r="K18" s="13" t="str">
        <x:v>vicent@hongfumotor.com</x:v>
      </x:c>
      <x:c r="L18" s="13" t="str">
        <x:v>https://www.hongfumotor.com/</x:v>
      </x:c>
      <x:c r="M18" s="13" t="str">
        <x:v>ТОЧНЫЙ СТЕНД + прямой контакт подтверждены</x:v>
      </x:c>
      <x:c r="N18" s="13" t="str">
        <x:v>https://cn.linkedin.com/company/hongfu-power</x:v>
      </x:c>
      <x:c r="O18" s="13" t="str">
        <x:v>Не посещено</x:v>
      </x:c>
      <x:c r="P18" s="13" t="str">
        <x:v>Нет</x:v>
      </x:c>
      <x:c r="Q18" s="13"/>
      <x:c r="R18" s="13" t="str">
        <x:f>IF(OR(ISNUMBER(SEARCH("Marine",C18)),ISNUMBER(SEARCH("яхт",C18)),ISNUMBER(SEARCH("генератор",C18)),ISNUMBER(SEARCH("Battery",C18)),ISNUMBER(SEARCH("Inverter",C18)),ISNUMBER(SEARCH("motor",C18)),ISNUMBER(SEARCH("Lighting",C18)),ISNUMBER(SEARCH("Audio",C18))),"YACHT / MARINE",IF(OR(ISNUMBER(SEARCH("ATV",C18)),ISNUMBER(SEARCH("UTV",C18)),ISNUMBER(SEARCH("snow",C18)),ISNUMBER(SEARCH("winter",C18))),"POWERSPORTS / WINTER",IF(OR(ISNUMBER(SEARCH("Auto",C18)),ISNUMBER(SEARCH("EV",C18)),ISNUMBER(SEARCH("vehicle",C18))),"AUTO / EV","INNOVATION / OTHER")))</x:f>
        <x:v>YACHT / MARINE</x:v>
      </x:c>
      <x:c r="S18" s="13" t="str">
        <x:v>Подтверждённая точка</x:v>
      </x:c>
    </x:row>
    <x:row r="19">
      <x:c r="A19" s="13" t="n">
        <x:v>18</x:v>
      </x:c>
      <x:c r="B19" s="13" t="str">
        <x:v>A</x:v>
      </x:c>
      <x:c r="C19" s="13" t="str">
        <x:v>Генераторы / BESS / hybrid</x:v>
      </x:c>
      <x:c r="D19" s="13" t="str">
        <x:v>MPMC Group — Power</x:v>
      </x:c>
      <x:c r="E19" s="13" t="str">
        <x:v>17.1</x:v>
      </x:c>
      <x:c r="F19" s="13" t="str">
        <x:v>17.1J33-35; 17.1K12-14</x:v>
      </x:c>
      <x:c r="G19" s="13" t="str">
        <x:v>Power generation, hybrid solutions</x:v>
      </x:c>
      <x:c r="H19" s="13" t="str">
        <x:v>Сильная точка для комплексной энергетики; инженеры обещаны на стенде.</x:v>
      </x:c>
      <x:c r="I19" s="13" t="str">
        <x:v>Small genset line? hybrid marine/mobile use? BESS coupling? remote monitoring? compact enclosure? OEM integration.</x:v>
      </x:c>
      <x:c r="J19" s="13" t="str">
        <x:v>Уточнить на стенде</x:v>
      </x:c>
      <x:c r="K19" s="13" t="str">
        <x:v>sales@mpmc-china.com</x:v>
      </x:c>
      <x:c r="L19" s="13" t="str">
        <x:v>https://www.mpmc-group.com/</x:v>
      </x:c>
      <x:c r="M19" s="13" t="str">
        <x:v>ТОЧНЫЙ СТЕНД подтверждён компанией</x:v>
      </x:c>
      <x:c r="N19" s="13" t="str">
        <x:v>https://in.linkedin.com/company/mpmcpowertech</x:v>
      </x:c>
      <x:c r="O19" s="13" t="str">
        <x:v>Не посещено</x:v>
      </x:c>
      <x:c r="P19" s="13" t="str">
        <x:v>Нет</x:v>
      </x:c>
      <x:c r="Q19" s="13"/>
      <x:c r="R19" s="13" t="str">
        <x:f>IF(OR(ISNUMBER(SEARCH("Marine",C19)),ISNUMBER(SEARCH("яхт",C19)),ISNUMBER(SEARCH("генератор",C19)),ISNUMBER(SEARCH("Battery",C19)),ISNUMBER(SEARCH("Inverter",C19)),ISNUMBER(SEARCH("motor",C19)),ISNUMBER(SEARCH("Lighting",C19)),ISNUMBER(SEARCH("Audio",C19))),"YACHT / MARINE",IF(OR(ISNUMBER(SEARCH("ATV",C19)),ISNUMBER(SEARCH("UTV",C19)),ISNUMBER(SEARCH("snow",C19)),ISNUMBER(SEARCH("winter",C19))),"POWERSPORTS / WINTER",IF(OR(ISNUMBER(SEARCH("Auto",C19)),ISNUMBER(SEARCH("EV",C19)),ISNUMBER(SEARCH("vehicle",C19))),"AUTO / EV","INNOVATION / OTHER")))</x:f>
        <x:v>YACHT / MARINE</x:v>
      </x:c>
      <x:c r="S19" s="13" t="str">
        <x:v>Подтверждённая точка</x:v>
      </x:c>
    </x:row>
    <x:row r="20">
      <x:c r="A20" s="13" t="n">
        <x:v>19</x:v>
      </x:c>
      <x:c r="B20" s="13" t="str">
        <x:v>B</x:v>
      </x:c>
      <x:c r="C20" s="13" t="str">
        <x:v>Portable power / innovation</x:v>
      </x:c>
      <x:c r="D20" s="13" t="str">
        <x:v>FULLAS</x:v>
      </x:c>
      <x:c r="E20" s="13" t="str">
        <x:v>17.1</x:v>
      </x:c>
      <x:c r="F20" s="13" t="str">
        <x:v>17.1I41</x:v>
      </x:c>
      <x:c r="G20" s="13" t="str">
        <x:v>Power equipment, new energy, portable power station, garden machinery</x:v>
      </x:c>
      <x:c r="H20" s="13" t="str">
        <x:v>Инновационная точка: мощные portable stations + power equipment. Потенциально отдельный продукт для сервиса/ATV/яхт.</x:v>
      </x:c>
      <x:c r="I20" s="13" t="str">
        <x:v>230V output, surge, battery chemistry, IP, cold temp, UPS, OEM, generator line, garden/winter products.</x:v>
      </x:c>
      <x:c r="J20" s="13" t="str">
        <x:v>Уточнить на стенде</x:v>
      </x:c>
      <x:c r="K20" s="13" t="str">
        <x:v>Контакт через LinkedIn/сайт</x:v>
      </x:c>
      <x:c r="L20" s="13" t="str">
        <x:v>—</x:v>
      </x:c>
      <x:c r="M20" s="13" t="str">
        <x:v>ТОЧНЫЙ СТЕНД подтверждён компанией</x:v>
      </x:c>
      <x:c r="N20" s="13" t="str">
        <x:v>https://cn.linkedin.com/company/chongqing-fullas-industry-co-ltd</x:v>
      </x:c>
      <x:c r="O20" s="13" t="str">
        <x:v>Не посещено</x:v>
      </x:c>
      <x:c r="P20" s="13" t="str">
        <x:v>Нет</x:v>
      </x:c>
      <x:c r="Q20" s="13"/>
      <x:c r="R20" s="13" t="str">
        <x:f>IF(OR(ISNUMBER(SEARCH("Marine",C20)),ISNUMBER(SEARCH("яхт",C20)),ISNUMBER(SEARCH("генератор",C20)),ISNUMBER(SEARCH("Battery",C20)),ISNUMBER(SEARCH("Inverter",C20)),ISNUMBER(SEARCH("motor",C20)),ISNUMBER(SEARCH("Lighting",C20)),ISNUMBER(SEARCH("Audio",C20))),"YACHT / MARINE",IF(OR(ISNUMBER(SEARCH("ATV",C20)),ISNUMBER(SEARCH("UTV",C20)),ISNUMBER(SEARCH("snow",C20)),ISNUMBER(SEARCH("winter",C20))),"POWERSPORTS / WINTER",IF(OR(ISNUMBER(SEARCH("Auto",C20)),ISNUMBER(SEARCH("EV",C20)),ISNUMBER(SEARCH("vehicle",C20))),"AUTO / EV","INNOVATION / OTHER")))</x:f>
        <x:v>INNOVATION / OTHER</x:v>
      </x:c>
      <x:c r="S20" s="13" t="str">
        <x:v>Подтверждённая точка</x:v>
      </x:c>
    </x:row>
    <x:row r="21">
      <x:c r="A21" s="13" t="n">
        <x:v>20</x:v>
      </x:c>
      <x:c r="B21" s="13" t="str">
        <x:v>A</x:v>
      </x:c>
      <x:c r="C21" s="13" t="str">
        <x:v>Marine audio / infotainment</x:v>
      </x:c>
      <x:c r="D21" s="13" t="str">
        <x:v>KLYDE</x:v>
      </x:c>
      <x:c r="E21" s="13" t="str">
        <x:v>19.2</x:v>
      </x:c>
      <x:c r="F21" s="13" t="str">
        <x:v>19.2D03-04</x:v>
      </x:c>
      <x:c r="G21" s="13" t="str">
        <x:v>IP66/IP67 marine/outdoor multimedia, digital clusters, 12.3-inch displays, CarPlay/Android Auto</x:v>
      </x:c>
      <x:c r="H21" s="13" t="str">
        <x:v>Одна из самых сильных точек под яхтенную электронику и powersports: waterproof + salt-spray + OEM.</x:v>
      </x:c>
      <x:c r="I21" s="13" t="str">
        <x:v>Marine Series catalog; IP67; salt-spray hours; 12/24V; CAN/NMEA2000? sunlight nits; glove touch; custom UI/logo; camera inputs; OEM MOQ.</x:v>
      </x:c>
      <x:c r="J21" s="13" t="str">
        <x:v>WhatsApp +86 13226816572</x:v>
      </x:c>
      <x:c r="K21" s="13" t="str">
        <x:v>Контакт через бренд</x:v>
      </x:c>
      <x:c r="L21" s="13" t="str">
        <x:v>https://szklyde.com/</x:v>
      </x:c>
      <x:c r="M21" s="13" t="str">
        <x:v>ТОЧНЫЙ СТЕНД + marine ассортимент подтверждены компанией</x:v>
      </x:c>
      <x:c r="N21" s="13" t="str">
        <x:v>https://szklyde.com/2026/09/22/canton-fair-140th-2026/</x:v>
      </x:c>
      <x:c r="O21" s="13" t="str">
        <x:v>Не посещено</x:v>
      </x:c>
      <x:c r="P21" s="13" t="str">
        <x:v>Нет</x:v>
      </x:c>
      <x:c r="Q21" s="13"/>
      <x:c r="R21" s="13" t="str">
        <x:f>IF(OR(ISNUMBER(SEARCH("Marine",C21)),ISNUMBER(SEARCH("яхт",C21)),ISNUMBER(SEARCH("генератор",C21)),ISNUMBER(SEARCH("Battery",C21)),ISNUMBER(SEARCH("Inverter",C21)),ISNUMBER(SEARCH("motor",C21)),ISNUMBER(SEARCH("Lighting",C21)),ISNUMBER(SEARCH("Audio",C21))),"YACHT / MARINE",IF(OR(ISNUMBER(SEARCH("ATV",C21)),ISNUMBER(SEARCH("UTV",C21)),ISNUMBER(SEARCH("snow",C21)),ISNUMBER(SEARCH("winter",C21))),"POWERSPORTS / WINTER",IF(OR(ISNUMBER(SEARCH("Auto",C21)),ISNUMBER(SEARCH("EV",C21)),ISNUMBER(SEARCH("vehicle",C21))),"AUTO / EV","INNOVATION / OTHER")))</x:f>
        <x:v>YACHT / MARINE</x:v>
      </x:c>
      <x:c r="S21" s="13" t="str">
        <x:v>Подтверждённая точка</x:v>
      </x:c>
    </x:row>
    <x:row r="22">
      <x:c r="A22" s="13" t="n">
        <x:v>21</x:v>
      </x:c>
      <x:c r="B22" s="13" t="str">
        <x:v>A</x:v>
      </x:c>
      <x:c r="C22" s="13" t="str">
        <x:v>Audio systems</x:v>
      </x:c>
      <x:c r="D22" s="13" t="str">
        <x:v>DSPPA Audio</x:v>
      </x:c>
      <x:c r="E22" s="13" t="str">
        <x:v>18.2</x:v>
      </x:c>
      <x:c r="F22" s="13" t="str">
        <x:v>18.2D07-08</x:v>
      </x:c>
      <x:c r="G22" s="13" t="str">
        <x:v>WiFi audio, amplifiers, speakers, home entertainment/audio systems</x:v>
      </x:c>
      <x:c r="H22" s="13" t="str">
        <x:v>Не marine-специалист, но реальная аудио-фабрика; нужна для OEM-компонентов и поиска waterproof line/engineering.</x:v>
      </x:c>
      <x:c r="I22" s="13" t="str">
        <x:v>Outdoor/waterproof speakers; UV/salt resistance; 12/24V amps; compact Class-D; Bluetooth/WiFi; OEM grille/logo; MOQ.</x:v>
      </x:c>
      <x:c r="J22" s="13" t="str">
        <x:v>+86 20 37166520</x:v>
      </x:c>
      <x:c r="K22" s="13" t="str">
        <x:v>export@dsppa.com</x:v>
      </x:c>
      <x:c r="L22" s="13" t="str">
        <x:v>https://www.dsppatech.com/</x:v>
      </x:c>
      <x:c r="M22" s="13" t="str">
        <x:v>ТОЧНЫЙ СТЕНД подтверждён компанией</x:v>
      </x:c>
      <x:c r="N22" s="13" t="str">
        <x:v>https://www.dsppatech.com/dsppa-set-to-make-its-canton-fair-debut-this-october1.html</x:v>
      </x:c>
      <x:c r="O22" s="13" t="str">
        <x:v>Не посещено</x:v>
      </x:c>
      <x:c r="P22" s="13" t="str">
        <x:v>Нет</x:v>
      </x:c>
      <x:c r="Q22" s="13"/>
      <x:c r="R22" s="13" t="str">
        <x:f>IF(OR(ISNUMBER(SEARCH("Marine",C22)),ISNUMBER(SEARCH("яхт",C22)),ISNUMBER(SEARCH("генератор",C22)),ISNUMBER(SEARCH("Battery",C22)),ISNUMBER(SEARCH("Inverter",C22)),ISNUMBER(SEARCH("motor",C22)),ISNUMBER(SEARCH("Lighting",C22)),ISNUMBER(SEARCH("Audio",C22))),"YACHT / MARINE",IF(OR(ISNUMBER(SEARCH("ATV",C22)),ISNUMBER(SEARCH("UTV",C22)),ISNUMBER(SEARCH("snow",C22)),ISNUMBER(SEARCH("winter",C22))),"POWERSPORTS / WINTER",IF(OR(ISNUMBER(SEARCH("Auto",C22)),ISNUMBER(SEARCH("EV",C22)),ISNUMBER(SEARCH("vehicle",C22))),"AUTO / EV","INNOVATION / OTHER")))</x:f>
        <x:v>YACHT / MARINE</x:v>
      </x:c>
      <x:c r="S22" s="13" t="str">
        <x:v>Подтверждённая точка</x:v>
      </x:c>
    </x:row>
    <x:row r="23">
      <x:c r="A23" s="13" t="n">
        <x:v>22</x:v>
      </x:c>
      <x:c r="B23" s="13" t="str">
        <x:v>A</x:v>
      </x:c>
      <x:c r="C23" s="13" t="str">
        <x:v>Energy storage / BESS</x:v>
      </x:c>
      <x:c r="D23" s="13" t="str">
        <x:v>MPMC Group — New Energy</x:v>
      </x:c>
      <x:c r="E23" s="13" t="str">
        <x:v>15.2</x:v>
      </x:c>
      <x:c r="F23" s="13" t="str">
        <x:v>15.2D33-35; 15.2E09-11</x:v>
      </x:c>
      <x:c r="G23" s="13" t="str">
        <x:v>BESS, mobile BESS chargers, hybrid solutions</x:v>
      </x:c>
      <x:c r="H23" s="13" t="str">
        <x:v>Вторая точка MPMC — именно energy storage; полезна для яхтенной батарейной архитектуры и electric powersports.</x:v>
      </x:c>
      <x:c r="I23" s="13" t="str">
        <x:v>48/72/96V? custom low-voltage BESS? mobile charger? CAN/EMS? high-discharge? marine environment? OEM integration.</x:v>
      </x:c>
      <x:c r="J23" s="13" t="str">
        <x:v>Уточнить на стенде</x:v>
      </x:c>
      <x:c r="K23" s="13" t="str">
        <x:v>sales@mpmc-china.com</x:v>
      </x:c>
      <x:c r="L23" s="13" t="str">
        <x:v>https://www.mpmc-group.com/</x:v>
      </x:c>
      <x:c r="M23" s="13" t="str">
        <x:v>ТОЧНЫЙ СТЕНД подтверждён компанией</x:v>
      </x:c>
      <x:c r="N23" s="13" t="str">
        <x:v>https://in.linkedin.com/company/mpmcpowertech</x:v>
      </x:c>
      <x:c r="O23" s="13" t="str">
        <x:v>Не посещено</x:v>
      </x:c>
      <x:c r="P23" s="13" t="str">
        <x:v>Нет</x:v>
      </x:c>
      <x:c r="Q23" s="13"/>
      <x:c r="R23" s="13" t="str">
        <x:f>IF(OR(ISNUMBER(SEARCH("Marine",C23)),ISNUMBER(SEARCH("яхт",C23)),ISNUMBER(SEARCH("генератор",C23)),ISNUMBER(SEARCH("Battery",C23)),ISNUMBER(SEARCH("Inverter",C23)),ISNUMBER(SEARCH("motor",C23)),ISNUMBER(SEARCH("Lighting",C23)),ISNUMBER(SEARCH("Audio",C23))),"YACHT / MARINE",IF(OR(ISNUMBER(SEARCH("ATV",C23)),ISNUMBER(SEARCH("UTV",C23)),ISNUMBER(SEARCH("snow",C23)),ISNUMBER(SEARCH("winter",C23))),"POWERSPORTS / WINTER",IF(OR(ISNUMBER(SEARCH("Auto",C23)),ISNUMBER(SEARCH("EV",C23)),ISNUMBER(SEARCH("vehicle",C23))),"AUTO / EV","INNOVATION / OTHER")))</x:f>
        <x:v>INNOVATION / OTHER</x:v>
      </x:c>
      <x:c r="S23" s="13" t="str">
        <x:v>Подтверждённая точка</x:v>
      </x:c>
    </x:row>
    <x:row r="24">
      <x:c r="A24" s="13" t="n">
        <x:v>23</x:v>
      </x:c>
      <x:c r="B24" s="13" t="str">
        <x:v>A</x:v>
      </x:c>
      <x:c r="C24" s="13" t="str">
        <x:v>Marine electrical / IP68 connectors</x:v>
      </x:c>
      <x:c r="D24" s="13" t="str">
        <x:v>Zhejiang Gutai Connector Co., Ltd.</x:v>
      </x:c>
      <x:c r="E24" s="13" t="str">
        <x:v>15.2</x:v>
      </x:c>
      <x:c r="F24" s="13" t="str">
        <x:v>15.2E37-38</x:v>
      </x:c>
      <x:c r="G24" s="13" t="str">
        <x:v>IP68 cable glands, waterproof connectors, junction boxes, MC4, brass/nylon glands</x:v>
      </x:c>
      <x:c r="H24" s="13" t="str">
        <x:v>Очень точная точка под яхтенную электрику: ввод кабеля, герметизация, junction boxes и waterproof connections.</x:v>
      </x:c>
      <x:c r="I24" s="13" t="str">
        <x:v>Запросить 316L metal glands, IP68 test reports, salt-spray, marine cable diameters, multi-hole glands, custom threads, OEM; взять каталог и samples.</x:v>
      </x:c>
      <x:c r="J24" s="13" t="str">
        <x:v>WhatsApp +86 13676576672</x:v>
      </x:c>
      <x:c r="K24" s="13" t="str">
        <x:v>vincy@gt-connector.com</x:v>
      </x:c>
      <x:c r="L24" s="13" t="str">
        <x:v>—</x:v>
      </x:c>
      <x:c r="M24" s="13" t="str">
        <x:v>ТОЧНЫЙ СТЕНД + marine application подтверждены производителем</x:v>
      </x:c>
      <x:c r="N24" s="13" t="str">
        <x:v>https://blog.gt-connector.com/blog/Zhejiang-Gutai-Connector-to-Showcase-IP68-Nylon-Cable-Glands-and-Waterproof-Connector-Accessories-at-140th-Canton-Fair-%28Booth-15.2E37-38%29.html</x:v>
      </x:c>
      <x:c r="O24" s="13" t="str">
        <x:v>Не посещено</x:v>
      </x:c>
      <x:c r="P24" s="13" t="str">
        <x:v>Нет</x:v>
      </x:c>
      <x:c r="Q24" s="13"/>
      <x:c r="R24" s="13" t="str">
        <x:f>IF(OR(ISNUMBER(SEARCH("Marine",C24)),ISNUMBER(SEARCH("яхт",C24)),ISNUMBER(SEARCH("генератор",C24)),ISNUMBER(SEARCH("Battery",C24)),ISNUMBER(SEARCH("Inverter",C24)),ISNUMBER(SEARCH("motor",C24)),ISNUMBER(SEARCH("Lighting",C24)),ISNUMBER(SEARCH("Audio",C24))),"YACHT / MARINE",IF(OR(ISNUMBER(SEARCH("ATV",C24)),ISNUMBER(SEARCH("UTV",C24)),ISNUMBER(SEARCH("snow",C24)),ISNUMBER(SEARCH("winter",C24))),"POWERSPORTS / WINTER",IF(OR(ISNUMBER(SEARCH("Auto",C24)),ISNUMBER(SEARCH("EV",C24)),ISNUMBER(SEARCH("vehicle",C24))),"AUTO / EV","INNOVATION / OTHER")))</x:f>
        <x:v>YACHT / MARINE</x:v>
      </x:c>
      <x:c r="S24" s="13" t="str">
        <x:v>Подтверждённая точка</x:v>
      </x:c>
    </x:row>
    <x:row r="25">
      <x:c r="A25" s="13" t="n">
        <x:v>24</x:v>
      </x:c>
      <x:c r="B25" s="13" t="str">
        <x:v>A</x:v>
      </x:c>
      <x:c r="C25" s="13" t="str">
        <x:v>Off-road / automotive lighting</x:v>
      </x:c>
      <x:c r="D25" s="13" t="str">
        <x:v>AURORA / Shenzhen Aurora Technology</x:v>
      </x:c>
      <x:c r="E25" s="13" t="str">
        <x:v>10.3</x:v>
      </x:c>
      <x:c r="F25" s="13" t="str">
        <x:v>10.3D23-24</x:v>
      </x:c>
      <x:c r="G25" s="13" t="str">
        <x:v>Professional off-road LED lighting; 2026 new products; OEM/ODM</x:v>
      </x:c>
      <x:c r="H25" s="13" t="str">
        <x:v>Сильная точка под ATV/UTV/снегоходы и потенциально палубное/rugged освещение: IP68/IP69K, high-tech R&amp;D, CAN-интеграция.</x:v>
      </x:c>
      <x:c r="I25" s="13" t="str">
        <x:v>Проверить 12/24V, IP68/IP69K, heated/de-icing lights, CAN control, custom beam, 316/anti-corrosion brackets, OEM/private label.</x:v>
      </x:c>
      <x:c r="J25" s="13" t="str">
        <x:v>Уточнить на стенде</x:v>
      </x:c>
      <x:c r="K25" s="13" t="str">
        <x:v>Через сайт</x:v>
      </x:c>
      <x:c r="L25" s="13" t="str">
        <x:v>https://www.szaurora.com/</x:v>
      </x:c>
      <x:c r="M25" s="13" t="str">
        <x:v>ТОЧНЫЙ СТЕНД подтверждён компанией</x:v>
      </x:c>
      <x:c r="N25" s="13" t="str">
        <x:v>https://www.szaurora.com/news/aurora-140th-canton-fair-2026</x:v>
      </x:c>
      <x:c r="O25" s="13" t="str">
        <x:v>Не посещено</x:v>
      </x:c>
      <x:c r="P25" s="13" t="str">
        <x:v>Нет</x:v>
      </x:c>
      <x:c r="Q25" s="13"/>
      <x:c r="R25" s="13" t="str">
        <x:f>IF(OR(ISNUMBER(SEARCH("Marine",C25)),ISNUMBER(SEARCH("яхт",C25)),ISNUMBER(SEARCH("генератор",C25)),ISNUMBER(SEARCH("Battery",C25)),ISNUMBER(SEARCH("Inverter",C25)),ISNUMBER(SEARCH("motor",C25)),ISNUMBER(SEARCH("Lighting",C25)),ISNUMBER(SEARCH("Audio",C25))),"YACHT / MARINE",IF(OR(ISNUMBER(SEARCH("ATV",C25)),ISNUMBER(SEARCH("UTV",C25)),ISNUMBER(SEARCH("snow",C25)),ISNUMBER(SEARCH("winter",C25))),"POWERSPORTS / WINTER",IF(OR(ISNUMBER(SEARCH("Auto",C25)),ISNUMBER(SEARCH("EV",C25)),ISNUMBER(SEARCH("vehicle",C25))),"AUTO / EV","INNOVATION / OTHER")))</x:f>
        <x:v>YACHT / MARINE</x:v>
      </x:c>
      <x:c r="S25" s="13" t="str">
        <x:v>Подтверждённая точка</x:v>
      </x:c>
    </x:row>
    <x:row r="26">
      <x:c r="A26" s="13" t="n">
        <x:v>25</x:v>
      </x:c>
      <x:c r="B26" s="13" t="str">
        <x:v>A</x:v>
      </x:c>
      <x:c r="C26" s="13" t="str">
        <x:v>Electric utility vehicles</x:v>
      </x:c>
      <x:c r="D26" s="13" t="str">
        <x:v>HDK Electric Vehicle</x:v>
      </x:c>
      <x:c r="E26" s="13" t="str">
        <x:v>15.1</x:v>
      </x:c>
      <x:c r="F26" s="13" t="str">
        <x:v>15.1F23-24; 15.1G21-22</x:v>
      </x:c>
      <x:c r="G26" s="13" t="str">
        <x:v>Electric golf carts, utility vehicles, fleet vehicles</x:v>
      </x:c>
      <x:c r="H26" s="13" t="str">
        <x:v>Не легковой автомобиль, но коммерчески интересная EV-платформа: resorts, logistics, utility. Может стать отдельным направлением ALTIORA.</x:v>
      </x:c>
      <x:c r="I26" s="13" t="str">
        <x:v>Utility configurations, payload, lithium pack, controller, 4x4 options, road homologation, FOB, MOQ, distributor terms, spare parts.</x:v>
      </x:c>
      <x:c r="J26" s="13" t="str">
        <x:v>Уточнить на стенде</x:v>
      </x:c>
      <x:c r="K26" s="13" t="str">
        <x:v>Контакт через сайт</x:v>
      </x:c>
      <x:c r="L26" s="13" t="str">
        <x:v>https://en.hdkexpress.com/</x:v>
      </x:c>
      <x:c r="M26" s="13" t="str">
        <x:v>ТОЧНЫЙ СТЕНД подтверждён производителем</x:v>
      </x:c>
      <x:c r="N26" s="13" t="str">
        <x:v>https://en.hdkexpress.com/news/meet-hdk-electric-vehicle-at-the-140th-canton-fair-2026/</x:v>
      </x:c>
      <x:c r="O26" s="13" t="str">
        <x:v>Не посещено</x:v>
      </x:c>
      <x:c r="P26" s="13" t="str">
        <x:v>Нет</x:v>
      </x:c>
      <x:c r="Q26" s="13"/>
      <x:c r="R26" s="13" t="str">
        <x:f>IF(OR(ISNUMBER(SEARCH("Marine",C26)),ISNUMBER(SEARCH("яхт",C26)),ISNUMBER(SEARCH("генератор",C26)),ISNUMBER(SEARCH("Battery",C26)),ISNUMBER(SEARCH("Inverter",C26)),ISNUMBER(SEARCH("motor",C26)),ISNUMBER(SEARCH("Lighting",C26)),ISNUMBER(SEARCH("Audio",C26))),"YACHT / MARINE",IF(OR(ISNUMBER(SEARCH("ATV",C26)),ISNUMBER(SEARCH("UTV",C26)),ISNUMBER(SEARCH("snow",C26)),ISNUMBER(SEARCH("winter",C26))),"POWERSPORTS / WINTER",IF(OR(ISNUMBER(SEARCH("Auto",C26)),ISNUMBER(SEARCH("EV",C26)),ISNUMBER(SEARCH("vehicle",C26))),"AUTO / EV","INNOVATION / OTHER")))</x:f>
        <x:v>AUTO / EV</x:v>
      </x:c>
      <x:c r="S26" s="13" t="str">
        <x:v>Подтверждённая точка</x:v>
      </x:c>
    </x:row>
    <x:row r="27">
      <x:c r="A27" s="13" t="n">
        <x:v>26</x:v>
      </x:c>
      <x:c r="B27" s="13" t="str">
        <x:v>B</x:v>
      </x:c>
      <x:c r="C27" s="13" t="str">
        <x:v>Automotive tools / aftermarket</x:v>
      </x:c>
      <x:c r="D27" s="13" t="str">
        <x:v>VIKTEC / Ningbo Dicong Machinery</x:v>
      </x:c>
      <x:c r="E27" s="13" t="str">
        <x:v>9.2</x:v>
      </x:c>
      <x:c r="F27" s="13" t="str">
        <x:v>9.2I09-10</x:v>
      </x:c>
      <x:c r="G27" s="13" t="str">
        <x:v>Automotive specialty tools; OEM/ODM; private label</x:v>
      </x:c>
      <x:c r="H27" s="13" t="str">
        <x:v>Полезная коммерческая точка вокруг авто-направления: инструменты для сервиса и aftermarket с OEM/private label.</x:v>
      </x:c>
      <x:c r="I27" s="13" t="str">
        <x:v>Запросить top sellers for Russia/CIS, MOQ, private label, warranty, packaging, FOB; интересуют tools for VW/Geely/Toyota/European cars.</x:v>
      </x:c>
      <x:c r="J27" s="13" t="str">
        <x:v>WhatsApp +86 18966383552</x:v>
      </x:c>
      <x:c r="K27" s="13" t="str">
        <x:v>inquiry@viktec.com</x:v>
      </x:c>
      <x:c r="L27" s="13" t="str">
        <x:v>https://www.viktec.com/</x:v>
      </x:c>
      <x:c r="M27" s="13" t="str">
        <x:v>ТОЧНЫЙ СТЕНД + контакт подтверждены производителем</x:v>
      </x:c>
      <x:c r="N27" s="13" t="str">
        <x:v>https://www.viktec.com/meet-viktec-at-the-140th-canton-fair-2026-booth-92-i0910</x:v>
      </x:c>
      <x:c r="O27" s="13" t="str">
        <x:v>Не посещено</x:v>
      </x:c>
      <x:c r="P27" s="13" t="str">
        <x:v>Нет</x:v>
      </x:c>
      <x:c r="Q27" s="13"/>
      <x:c r="R27" s="13" t="str">
        <x:f>IF(OR(ISNUMBER(SEARCH("Marine",C27)),ISNUMBER(SEARCH("яхт",C27)),ISNUMBER(SEARCH("генератор",C27)),ISNUMBER(SEARCH("Battery",C27)),ISNUMBER(SEARCH("Inverter",C27)),ISNUMBER(SEARCH("motor",C27)),ISNUMBER(SEARCH("Lighting",C27)),ISNUMBER(SEARCH("Audio",C27))),"YACHT / MARINE",IF(OR(ISNUMBER(SEARCH("ATV",C27)),ISNUMBER(SEARCH("UTV",C27)),ISNUMBER(SEARCH("snow",C27)),ISNUMBER(SEARCH("winter",C27))),"POWERSPORTS / WINTER",IF(OR(ISNUMBER(SEARCH("Auto",C27)),ISNUMBER(SEARCH("EV",C27)),ISNUMBER(SEARCH("vehicle",C27))),"AUTO / EV","INNOVATION / OTHER")))</x:f>
        <x:v>AUTO / EV</x:v>
      </x:c>
      <x:c r="S27" s="13" t="str">
        <x:v>Подтверждённая точка</x:v>
      </x:c>
    </x:row>
    <x:row r="28">
      <x:c r="A28" s="13" t="n">
        <x:v>27</x:v>
      </x:c>
      <x:c r="B28" s="13" t="str">
        <x:v>A</x:v>
      </x:c>
      <x:c r="C28" s="13" t="str">
        <x:v>Auto / EV accessories</x:v>
      </x:c>
      <x:c r="D28" s="13" t="str">
        <x:v>WANPU</x:v>
      </x:c>
      <x:c r="E28" s="13" t="str">
        <x:v>9.2 + 8.1</x:v>
      </x:c>
      <x:c r="F28" s="13" t="str">
        <x:v>9.2A21-22; 9.2B03-04; EV 8.1E17-18</x:v>
      </x:c>
      <x:c r="G28" s="13" t="str">
        <x:v>Jump starters, battery testers, compressors, car vacuums, EV chargers</x:v>
      </x:c>
      <x:c r="H28" s="13" t="str">
        <x:v>Готовая экспортная линейка с сертификацией и OEM. Может быстро продаваться вместе с автомобилями и техникой.</x:v>
      </x:c>
      <x:c r="I28" s="13" t="str">
        <x:v>Получить fair price, MOQ, EV charger specs, CE/FCC/RoHS/UN38.3, OEM packaging, samples; сравнить 12V/24V heavy-duty units.</x:v>
      </x:c>
      <x:c r="J28" s="13" t="str">
        <x:v>Уточнить через сайт</x:v>
      </x:c>
      <x:c r="K28" s="13" t="str">
        <x:v>Через форму / export team</x:v>
      </x:c>
      <x:c r="L28" s="13" t="str">
        <x:v>https://wanpup.com/</x:v>
      </x:c>
      <x:c r="M28" s="13" t="str">
        <x:v>ТОЧНЫЕ СТЕНДЫ + OEM условия подтверждены компанией</x:v>
      </x:c>
      <x:c r="N28" s="13" t="str">
        <x:v>https://wanpup.com/canton-fair</x:v>
      </x:c>
      <x:c r="O28" s="13" t="str">
        <x:v>Не посещено</x:v>
      </x:c>
      <x:c r="P28" s="13" t="str">
        <x:v>Нет</x:v>
      </x:c>
      <x:c r="Q28" s="13"/>
      <x:c r="R28" s="13" t="str">
        <x:f>IF(OR(ISNUMBER(SEARCH("Marine",C28)),ISNUMBER(SEARCH("яхт",C28)),ISNUMBER(SEARCH("генератор",C28)),ISNUMBER(SEARCH("Battery",C28)),ISNUMBER(SEARCH("Inverter",C28)),ISNUMBER(SEARCH("motor",C28)),ISNUMBER(SEARCH("Lighting",C28)),ISNUMBER(SEARCH("Audio",C28))),"YACHT / MARINE",IF(OR(ISNUMBER(SEARCH("ATV",C28)),ISNUMBER(SEARCH("UTV",C28)),ISNUMBER(SEARCH("snow",C28)),ISNUMBER(SEARCH("winter",C28))),"POWERSPORTS / WINTER",IF(OR(ISNUMBER(SEARCH("Auto",C28)),ISNUMBER(SEARCH("EV",C28)),ISNUMBER(SEARCH("vehicle",C28))),"AUTO / EV","INNOVATION / OTHER")))</x:f>
        <x:v>AUTO / EV</x:v>
      </x:c>
      <x:c r="S28" s="13" t="str">
        <x:v>Подтверждённая точка</x:v>
      </x:c>
    </x:row>
    <x:row r="29">
      <x:c r="A29" s="13" t="n">
        <x:v>28</x:v>
      </x:c>
      <x:c r="B29" s="13" t="str">
        <x:v>B</x:v>
      </x:c>
      <x:c r="C29" s="13" t="str">
        <x:v>Automotive protection / high-margin accessory</x:v>
      </x:c>
      <x:c r="D29" s="13" t="str">
        <x:v>GWF FILM</x:v>
      </x:c>
      <x:c r="E29" s="13" t="str">
        <x:v>9.3</x:v>
      </x:c>
      <x:c r="F29" s="13" t="str">
        <x:v>9.3C37-38</x:v>
      </x:c>
      <x:c r="G29" s="13" t="str">
        <x:v>PPF, automotive window film, color TPU PPF</x:v>
      </x:c>
      <x:c r="H29" s="13" t="str">
        <x:v>Не основной список, но хороший высокомаржинальный сопутствующий товар к автомобилям: PPF/плёнка под импортируемые машины.</x:v>
      </x:c>
      <x:c r="I29" s="13" t="str">
        <x:v>Self-healing TPU, thickness, yellowing warranty, hydrophobic coating, UV/IR specs, private label, rolls MOQ, installer support.</x:v>
      </x:c>
      <x:c r="J29" s="13" t="str">
        <x:v>Уточнить на стенде</x:v>
      </x:c>
      <x:c r="K29" s="13" t="str">
        <x:v>Контакт через сайт</x:v>
      </x:c>
      <x:c r="L29" s="13" t="str">
        <x:v>https://www.gwfppf.com/</x:v>
      </x:c>
      <x:c r="M29" s="13" t="str">
        <x:v>ТОЧНЫЙ СТЕНД подтверждён производителем</x:v>
      </x:c>
      <x:c r="N29" s="13" t="str">
        <x:v>https://www.gwfppf.com/news/meet-gwf-film-at-the-140th-canton-fair-2026-409138.html</x:v>
      </x:c>
      <x:c r="O29" s="13" t="str">
        <x:v>Не посещено</x:v>
      </x:c>
      <x:c r="P29" s="13" t="str">
        <x:v>Нет</x:v>
      </x:c>
      <x:c r="Q29" s="13"/>
      <x:c r="R29" s="13" t="str">
        <x:f>IF(OR(ISNUMBER(SEARCH("Marine",C29)),ISNUMBER(SEARCH("яхт",C29)),ISNUMBER(SEARCH("генератор",C29)),ISNUMBER(SEARCH("Battery",C29)),ISNUMBER(SEARCH("Inverter",C29)),ISNUMBER(SEARCH("motor",C29)),ISNUMBER(SEARCH("Lighting",C29)),ISNUMBER(SEARCH("Audio",C29))),"YACHT / MARINE",IF(OR(ISNUMBER(SEARCH("ATV",C29)),ISNUMBER(SEARCH("UTV",C29)),ISNUMBER(SEARCH("snow",C29)),ISNUMBER(SEARCH("winter",C29))),"POWERSPORTS / WINTER",IF(OR(ISNUMBER(SEARCH("Auto",C29)),ISNUMBER(SEARCH("EV",C29)),ISNUMBER(SEARCH("vehicle",C29))),"AUTO / EV","INNOVATION / OTHER")))</x:f>
        <x:v>AUTO / EV</x:v>
      </x:c>
      <x:c r="S29" s="13" t="str">
        <x:v>Подтверждённая точка</x:v>
      </x:c>
    </x:row>
    <x:row r="30">
      <x:c r="A30" s="13" t="n">
        <x:v>29</x:v>
      </x:c>
      <x:c r="B30" s="13" t="str">
        <x:v>B</x:v>
      </x:c>
      <x:c r="C30" s="13" t="str">
        <x:v>Lighting OEM</x:v>
      </x:c>
      <x:c r="D30" s="13" t="str">
        <x:v>Hefei Brother Lighting</x:v>
      </x:c>
      <x:c r="E30" s="13" t="str">
        <x:v>15.4</x:v>
      </x:c>
      <x:c r="F30" s="13" t="str">
        <x:v>15.4G38</x:v>
      </x:c>
      <x:c r="G30" s="13" t="str">
        <x:v>LED panels, linear lights, bulbs; OEM/ODM</x:v>
      </x:c>
      <x:c r="H30" s="13" t="str">
        <x:v>Дополнительная OEM-фабрика по освещению для сравнения себестоимости и кастомизации. Не marine готовое, но полезна как engineering supplier.</x:v>
      </x:c>
      <x:c r="I30" s="13" t="str">
        <x:v>Сразу спрашивать только outdoor/DC/custom: 12/24V, IP67, compact cabin fixtures, custom housing/PCB, OEM MOQ; если нет — быстро закрыть.</x:v>
      </x:c>
      <x:c r="J30" s="13" t="str">
        <x:v>Уточнить на стенде</x:v>
      </x:c>
      <x:c r="K30" s="13" t="str">
        <x:v>Через сайт</x:v>
      </x:c>
      <x:c r="L30" s="13" t="str">
        <x:v>https://www.bcllighting.com/</x:v>
      </x:c>
      <x:c r="M30" s="13" t="str">
        <x:v>ТОЧНЫЙ СТЕНД подтверждён производителем</x:v>
      </x:c>
      <x:c r="N30" s="13" t="str">
        <x:v>https://www.bcllighting.com/meet-us-at-the-140th-canton-fair-hefei-brother-lighting/</x:v>
      </x:c>
      <x:c r="O30" s="13" t="str">
        <x:v>Не посещено</x:v>
      </x:c>
      <x:c r="P30" s="13" t="str">
        <x:v>Нет</x:v>
      </x:c>
      <x:c r="Q30" s="13"/>
      <x:c r="R30" s="13" t="str">
        <x:f>IF(OR(ISNUMBER(SEARCH("Marine",C30)),ISNUMBER(SEARCH("яхт",C30)),ISNUMBER(SEARCH("генератор",C30)),ISNUMBER(SEARCH("Battery",C30)),ISNUMBER(SEARCH("Inverter",C30)),ISNUMBER(SEARCH("motor",C30)),ISNUMBER(SEARCH("Lighting",C30)),ISNUMBER(SEARCH("Audio",C30))),"YACHT / MARINE",IF(OR(ISNUMBER(SEARCH("ATV",C30)),ISNUMBER(SEARCH("UTV",C30)),ISNUMBER(SEARCH("snow",C30)),ISNUMBER(SEARCH("winter",C30))),"POWERSPORTS / WINTER",IF(OR(ISNUMBER(SEARCH("Auto",C30)),ISNUMBER(SEARCH("EV",C30)),ISNUMBER(SEARCH("vehicle",C30))),"AUTO / EV","INNOVATION / OTHER")))</x:f>
        <x:v>YACHT / MARINE</x:v>
      </x:c>
      <x:c r="S30" s="13" t="str">
        <x:v>Подтверждённая точка</x:v>
      </x:c>
    </x:row>
    <x:row r="31">
      <x:c r="A31" s="13" t="n">
        <x:v>30</x:v>
      </x:c>
      <x:c r="B31" s="13" t="str">
        <x:v>B</x:v>
      </x:c>
      <x:c r="C31" s="13" t="str">
        <x:v>Lighting OEM</x:v>
      </x:c>
      <x:c r="D31" s="13" t="str">
        <x:v>Enshine Lighting</x:v>
      </x:c>
      <x:c r="E31" s="13" t="str">
        <x:v>15.4</x:v>
      </x:c>
      <x:c r="F31" s="13" t="str">
        <x:v>15.4A19-20</x:v>
      </x:c>
      <x:c r="G31" s="13" t="str">
        <x:v>LED batten, panel, downlight, high bay; OEM/ODM manufacturing</x:v>
      </x:c>
      <x:c r="H31" s="13" t="str">
        <x:v>Сравнительная точка по OEM освещению. Важна только если готовы кастомизировать 12/24V waterproof fixtures под яхту/технику.</x:v>
      </x:c>
      <x:c r="I31" s="13" t="str">
        <x:v>Проверить IP67/68 outdoor capability, DC drivers, compact recessed lights, private molds, salt spray, MOQ.</x:v>
      </x:c>
      <x:c r="J31" s="13" t="str">
        <x:v>Phone/WeChat +86 18250894094</x:v>
      </x:c>
      <x:c r="K31" s="13" t="str">
        <x:v>sales contact via site</x:v>
      </x:c>
      <x:c r="L31" s="13" t="str">
        <x:v>https://www.enshinelighting.com/</x:v>
      </x:c>
      <x:c r="M31" s="13" t="str">
        <x:v>ТОЧНЫЙ СТЕНД + OEM подтверждены компанией</x:v>
      </x:c>
      <x:c r="N31" s="13" t="str">
        <x:v>https://www.enshinelighting.com/news-news140th-canton-fair-2026-led-lighting</x:v>
      </x:c>
      <x:c r="O31" s="13" t="str">
        <x:v>Не посещено</x:v>
      </x:c>
      <x:c r="P31" s="13" t="str">
        <x:v>Нет</x:v>
      </x:c>
      <x:c r="Q31" s="13"/>
      <x:c r="R31" s="13" t="str">
        <x:f>IF(OR(ISNUMBER(SEARCH("Marine",C31)),ISNUMBER(SEARCH("яхт",C31)),ISNUMBER(SEARCH("генератор",C31)),ISNUMBER(SEARCH("Battery",C31)),ISNUMBER(SEARCH("Inverter",C31)),ISNUMBER(SEARCH("motor",C31)),ISNUMBER(SEARCH("Lighting",C31)),ISNUMBER(SEARCH("Audio",C31))),"YACHT / MARINE",IF(OR(ISNUMBER(SEARCH("ATV",C31)),ISNUMBER(SEARCH("UTV",C31)),ISNUMBER(SEARCH("snow",C31)),ISNUMBER(SEARCH("winter",C31))),"POWERSPORTS / WINTER",IF(OR(ISNUMBER(SEARCH("Auto",C31)),ISNUMBER(SEARCH("EV",C31)),ISNUMBER(SEARCH("vehicle",C31))),"AUTO / EV","INNOVATION / OTHER")))</x:f>
        <x:v>YACHT / MARINE</x:v>
      </x:c>
      <x:c r="S31" s="13" t="str">
        <x:v>Подтверждённая точка</x:v>
      </x:c>
    </x:row>
    <x:row r="32">
      <x:c r="A32" s="13" t="n">
        <x:v>31</x:v>
      </x:c>
      <x:c r="B32" s="13" t="str">
        <x:v>B</x:v>
      </x:c>
      <x:c r="C32" s="13" t="str">
        <x:v>Lighting / smart control</x:v>
      </x:c>
      <x:c r="D32" s="13" t="str">
        <x:v>XHLUX</x:v>
      </x:c>
      <x:c r="E32" s="13" t="str">
        <x:v>15.4</x:v>
      </x:c>
      <x:c r="F32" s="13" t="str">
        <x:v>15.4G06</x:v>
      </x:c>
      <x:c r="G32" s="13" t="str">
        <x:v>Commercial LED, smart lighting, OEM/ODM</x:v>
      </x:c>
      <x:c r="H32" s="13" t="str">
        <x:v>Точка для smart-lighting/driver/controls. Может дать электронную часть для кастомных cabin/deck решений.</x:v>
      </x:c>
      <x:c r="I32" s="13" t="str">
        <x:v>Спросить 12/24V DC driver, smart control, dimming, IP67 custom fixtures, OEM electronics, compact marine-interior formats.</x:v>
      </x:c>
      <x:c r="J32" s="13" t="str">
        <x:v>WhatsApp +86 18123743795</x:v>
      </x:c>
      <x:c r="K32" s="13" t="str">
        <x:v>sales@xhlux.com</x:v>
      </x:c>
      <x:c r="L32" s="13" t="str">
        <x:v>https://www.xhlux.com/</x:v>
      </x:c>
      <x:c r="M32" s="13" t="str">
        <x:v>ТОЧНЫЙ СТЕНД + контакт подтверждены производителем</x:v>
      </x:c>
      <x:c r="N32" s="13" t="str">
        <x:v>https://www.xhlux.com/news/meet-xhlux-at-the-140th-canton-fair-2026/</x:v>
      </x:c>
      <x:c r="O32" s="13" t="str">
        <x:v>Не посещено</x:v>
      </x:c>
      <x:c r="P32" s="13" t="str">
        <x:v>Нет</x:v>
      </x:c>
      <x:c r="Q32" s="13"/>
      <x:c r="R32" s="13" t="str">
        <x:f>IF(OR(ISNUMBER(SEARCH("Marine",C32)),ISNUMBER(SEARCH("яхт",C32)),ISNUMBER(SEARCH("генератор",C32)),ISNUMBER(SEARCH("Battery",C32)),ISNUMBER(SEARCH("Inverter",C32)),ISNUMBER(SEARCH("motor",C32)),ISNUMBER(SEARCH("Lighting",C32)),ISNUMBER(SEARCH("Audio",C32))),"YACHT / MARINE",IF(OR(ISNUMBER(SEARCH("ATV",C32)),ISNUMBER(SEARCH("UTV",C32)),ISNUMBER(SEARCH("snow",C32)),ISNUMBER(SEARCH("winter",C32))),"POWERSPORTS / WINTER",IF(OR(ISNUMBER(SEARCH("Auto",C32)),ISNUMBER(SEARCH("EV",C32)),ISNUMBER(SEARCH("vehicle",C32))),"AUTO / EV","INNOVATION / OTHER")))</x:f>
        <x:v>YACHT / MARINE</x:v>
      </x:c>
      <x:c r="S32" s="13" t="str">
        <x:v>Подтверждённая точка</x:v>
      </x:c>
    </x:row>
    <x:row r="33">
      <x:c r="A33" s="13" t="n">
        <x:v>32</x:v>
      </x:c>
      <x:c r="B33" s="13" t="str">
        <x:v>B</x:v>
      </x:c>
      <x:c r="C33" s="13" t="str">
        <x:v>Industrial control / automation</x:v>
      </x:c>
      <x:c r="D33" s="13" t="str">
        <x:v>ODOT Automation</x:v>
      </x:c>
      <x:c r="E33" s="13" t="str">
        <x:v>20.1</x:v>
      </x:c>
      <x:c r="F33" s="13" t="str">
        <x:v>20.1G04</x:v>
      </x:c>
      <x:c r="G33" s="13" t="str">
        <x:v>PLC, remote I/O, IP67 I/O, HMI+PLC all-in-one control platform</x:v>
      </x:c>
      <x:c r="H33" s="13" t="str">
        <x:v>Инновационная точка для smart-yacht / automation / remote equipment. Особенно интересен IP67 I/O и интеграция датчиков/исполнительных механизмов.</x:v>
      </x:c>
      <x:c r="I33" s="13" t="str">
        <x:v>IP67 remote I/O, CAN/Modbus/Ethernet protocols, 24V DC, vibration, remote monitoring, custom panel integration; запросить engineer contact.</x:v>
      </x:c>
      <x:c r="J33" s="13" t="str">
        <x:v>Уточнить на стенде</x:v>
      </x:c>
      <x:c r="K33" s="13" t="str">
        <x:v>Контакт через ODOT</x:v>
      </x:c>
      <x:c r="L33" s="13" t="str">
        <x:v>https://www.odotautomation.com/</x:v>
      </x:c>
      <x:c r="M33" s="13" t="str">
        <x:v>ТОЧНЫЙ СТЕНД подтверждён публичным приглашением</x:v>
      </x:c>
      <x:c r="N33" s="13" t="str">
        <x:v>https://fr.linkedin.com/in/amat-christian-841b1927</x:v>
      </x:c>
      <x:c r="O33" s="13" t="str">
        <x:v>Не посещено</x:v>
      </x:c>
      <x:c r="P33" s="13" t="str">
        <x:v>Нет</x:v>
      </x:c>
      <x:c r="Q33" s="13"/>
      <x:c r="R33" s="13" t="str">
        <x:f>IF(OR(ISNUMBER(SEARCH("Marine",C33)),ISNUMBER(SEARCH("яхт",C33)),ISNUMBER(SEARCH("генератор",C33)),ISNUMBER(SEARCH("Battery",C33)),ISNUMBER(SEARCH("Inverter",C33)),ISNUMBER(SEARCH("motor",C33)),ISNUMBER(SEARCH("Lighting",C33)),ISNUMBER(SEARCH("Audio",C33))),"YACHT / MARINE",IF(OR(ISNUMBER(SEARCH("ATV",C33)),ISNUMBER(SEARCH("UTV",C33)),ISNUMBER(SEARCH("snow",C33)),ISNUMBER(SEARCH("winter",C33))),"POWERSPORTS / WINTER",IF(OR(ISNUMBER(SEARCH("Auto",C33)),ISNUMBER(SEARCH("EV",C33)),ISNUMBER(SEARCH("vehicle",C33))),"AUTO / EV","INNOVATION / OTHER")))</x:f>
        <x:v>AUTO / EV</x:v>
      </x:c>
      <x:c r="S33" s="13" t="str">
        <x:v>Подтверждённая точка</x:v>
      </x:c>
    </x:row>
    <x:row r="34">
      <x:c r="A34" s="13" t="n">
        <x:v>33</x:v>
      </x:c>
      <x:c r="B34" s="13" t="str">
        <x:v>B</x:v>
      </x:c>
      <x:c r="C34" s="13" t="str">
        <x:v>Automotive lighting / smart off-road</x:v>
      </x:c>
      <x:c r="D34" s="13" t="str">
        <x:v>Gonengo Hexagon Lighting</x:v>
      </x:c>
      <x:c r="E34" s="13" t="str">
        <x:v>16.4</x:v>
      </x:c>
      <x:c r="F34" s="13" t="str">
        <x:v>16.4B17</x:v>
      </x:c>
      <x:c r="G34" s="13" t="str">
        <x:v>Garage/workshop LED systems, patented lighting products</x:v>
      </x:c>
      <x:c r="H34" s="13" t="str">
        <x:v>Не marine, но коммерчески интересная сопутствующая точка для авто-бизнеса, showroom/детейлинг/сервисов.</x:v>
      </x:c>
      <x:c r="I34" s="13" t="str">
        <x:v>Wholesale/OEM, patents/certifications, modular systems, installation kit, margin/distributor terms.</x:v>
      </x:c>
      <x:c r="J34" s="13" t="str">
        <x:v>Уточнить на стенде</x:v>
      </x:c>
      <x:c r="K34" s="13" t="str">
        <x:v>Через сайт</x:v>
      </x:c>
      <x:c r="L34" s="13" t="str">
        <x:v>https://www.hexagonledlighting.com/</x:v>
      </x:c>
      <x:c r="M34" s="13" t="str">
        <x:v>ТОЧНЫЙ СТЕНД подтверждён компанией</x:v>
      </x:c>
      <x:c r="N34" s="13" t="str">
        <x:v>https://www.hexagonledlighting.com/join-hexagon-garage-lights-at-the-2026-140th-canton-fair/</x:v>
      </x:c>
      <x:c r="O34" s="13" t="str">
        <x:v>Не посещено</x:v>
      </x:c>
      <x:c r="P34" s="13" t="str">
        <x:v>Нет</x:v>
      </x:c>
      <x:c r="Q34" s="13"/>
      <x:c r="R34" s="13" t="str">
        <x:f>IF(OR(ISNUMBER(SEARCH("Marine",C34)),ISNUMBER(SEARCH("яхт",C34)),ISNUMBER(SEARCH("генератор",C34)),ISNUMBER(SEARCH("Battery",C34)),ISNUMBER(SEARCH("Inverter",C34)),ISNUMBER(SEARCH("motor",C34)),ISNUMBER(SEARCH("Lighting",C34)),ISNUMBER(SEARCH("Audio",C34))),"YACHT / MARINE",IF(OR(ISNUMBER(SEARCH("ATV",C34)),ISNUMBER(SEARCH("UTV",C34)),ISNUMBER(SEARCH("snow",C34)),ISNUMBER(SEARCH("winter",C34))),"POWERSPORTS / WINTER",IF(OR(ISNUMBER(SEARCH("Auto",C34)),ISNUMBER(SEARCH("EV",C34)),ISNUMBER(SEARCH("vehicle",C34))),"AUTO / EV","INNOVATION / OTHER")))</x:f>
        <x:v>YACHT / MARINE</x:v>
      </x:c>
      <x:c r="S34" s="13" t="str">
        <x:v>Подтверждённая точка</x:v>
      </x:c>
    </x:row>
    <x:row r="35">
      <x:c r="A35" s="13" t="n">
        <x:v>34</x:v>
      </x:c>
      <x:c r="B35" s="13" t="str">
        <x:v>B</x:v>
      </x:c>
      <x:c r="C35" s="13" t="str">
        <x:v>Auto body / workshop equipment</x:v>
      </x:c>
      <x:c r="D35" s="13" t="str">
        <x:v>SD LONGXIANG</x:v>
      </x:c>
      <x:c r="E35" s="13" t="str">
        <x:v>8.0</x:v>
      </x:c>
      <x:c r="F35" s="13" t="str">
        <x:v>8.0F13</x:v>
      </x:c>
      <x:c r="G35" s="13" t="str">
        <x:v>Full-glass automotive spray booths, prep stations, industrial coating systems</x:v>
      </x:c>
      <x:c r="H35" s="13" t="str">
        <x:v>Интересно как отдельное B2B-направление вокруг автомобилей и сервисов; крупный чек и промышленная маржа.</x:v>
      </x:c>
      <x:c r="I35" s="13" t="str">
        <x:v>FOB, installation, CE/EAC, heating source, airflow, filters, container loading, commissioning, Russian-language support, distributor terms.</x:v>
      </x:c>
      <x:c r="J35" s="13" t="str">
        <x:v>Уточнить на стенде</x:v>
      </x:c>
      <x:c r="K35" s="13" t="str">
        <x:v>Через сайт</x:v>
      </x:c>
      <x:c r="L35" s="13" t="str">
        <x:v>https://www.cnspraybooth.com/</x:v>
      </x:c>
      <x:c r="M35" s="13" t="str">
        <x:v>ТОЧНЫЙ СТЕНД подтверждён производителем</x:v>
      </x:c>
      <x:c r="N35" s="13" t="str">
        <x:v>https://www.cnspraybooth.com/sd-longxiang-to-showcase-next-generation-full-glass-spray-booths-at-the-140th-canton-fair-booth-no-80f13</x:v>
      </x:c>
      <x:c r="O35" s="13" t="str">
        <x:v>Не посещено</x:v>
      </x:c>
      <x:c r="P35" s="13" t="str">
        <x:v>Нет</x:v>
      </x:c>
      <x:c r="Q35" s="13"/>
      <x:c r="R35" s="13" t="str">
        <x:f>IF(OR(ISNUMBER(SEARCH("Marine",C35)),ISNUMBER(SEARCH("яхт",C35)),ISNUMBER(SEARCH("генератор",C35)),ISNUMBER(SEARCH("Battery",C35)),ISNUMBER(SEARCH("Inverter",C35)),ISNUMBER(SEARCH("motor",C35)),ISNUMBER(SEARCH("Lighting",C35)),ISNUMBER(SEARCH("Audio",C35))),"YACHT / MARINE",IF(OR(ISNUMBER(SEARCH("ATV",C35)),ISNUMBER(SEARCH("UTV",C35)),ISNUMBER(SEARCH("snow",C35)),ISNUMBER(SEARCH("winter",C35))),"POWERSPORTS / WINTER",IF(OR(ISNUMBER(SEARCH("Auto",C35)),ISNUMBER(SEARCH("EV",C35)),ISNUMBER(SEARCH("vehicle",C35))),"AUTO / EV","INNOVATION / OTHER")))</x:f>
        <x:v>AUTO / EV</x:v>
      </x:c>
      <x:c r="S35" s="13" t="str">
        <x:v>Подтверждённая точка</x:v>
      </x:c>
    </x:row>
    <x:row r="36">
      <x:c r="A36" s="13" t="n">
        <x:v>35</x:v>
      </x:c>
      <x:c r="B36" s="13" t="str">
        <x:v>A</x:v>
      </x:c>
      <x:c r="C36" s="13" t="str">
        <x:v>Marine electronics / fishfinder R&amp;D</x:v>
      </x:c>
      <x:c r="D36" s="13" t="str">
        <x:v>Guangdong Boatman Electronics</x:v>
      </x:c>
      <x:c r="E36" s="13" t="str">
        <x:v>17.2</x:v>
      </x:c>
      <x:c r="F36" s="13" t="str">
        <x:v>17.2E02</x:v>
      </x:c>
      <x:c r="G36" s="13" t="str">
        <x:v>Fish finders, wireless/RC boat electronics, outdoor electronics R&amp;D</x:v>
      </x:c>
      <x:c r="H36" s="13" t="str">
        <x:v>Реальная boat-electronics фабрика с собственной R&amp;D. Нужна для fishfinder/sonar, waterproof displays, wireless control и выхода на профильную marine electronics supply chain.</x:v>
      </x:c>
      <x:c r="I36" s="13" t="str">
        <x:v>Запросить fishfinder/sonar catalog; transducer frequencies; display brightness; IP rating; 12/24V; NMEA/CAN capability; OEM firmware/UI; waterproof connectors; marine references.</x:v>
      </x:c>
      <x:c r="J36" s="13" t="str">
        <x:v>Уточнить на стенде</x:v>
      </x:c>
      <x:c r="K36" s="13" t="str">
        <x:v>Через Canton Fair 365 / сайт</x:v>
      </x:c>
      <x:c r="L36" s="13" t="str">
        <x:v>https://www.boatmanboat.com/</x:v>
      </x:c>
      <x:c r="M36" s="13" t="str">
        <x:v>ОФИЦИАЛЬНЫЙ Canton Fair 365</x:v>
      </x:c>
      <x:c r="N36" s="13" t="str">
        <x:v>https://365.cantonfair.org.cn/en-US/shops?id=2331649898</x:v>
      </x:c>
      <x:c r="O36" s="13" t="str">
        <x:v>Не посещено</x:v>
      </x:c>
      <x:c r="P36" s="13" t="str">
        <x:v>Нет</x:v>
      </x:c>
      <x:c r="Q36" s="13"/>
      <x:c r="R36" s="13" t="str">
        <x:f>IF(OR(ISNUMBER(SEARCH("Marine",C36)),ISNUMBER(SEARCH("яхт",C36)),ISNUMBER(SEARCH("генератор",C36)),ISNUMBER(SEARCH("Battery",C36)),ISNUMBER(SEARCH("Inverter",C36)),ISNUMBER(SEARCH("motor",C36)),ISNUMBER(SEARCH("Lighting",C36)),ISNUMBER(SEARCH("Audio",C36))),"YACHT / MARINE",IF(OR(ISNUMBER(SEARCH("ATV",C36)),ISNUMBER(SEARCH("UTV",C36)),ISNUMBER(SEARCH("snow",C36)),ISNUMBER(SEARCH("winter",C36))),"POWERSPORTS / WINTER",IF(OR(ISNUMBER(SEARCH("Auto",C36)),ISNUMBER(SEARCH("EV",C36)),ISNUMBER(SEARCH("vehicle",C36))),"AUTO / EV","INNOVATION / OTHER")))</x:f>
        <x:v>YACHT / MARINE</x:v>
      </x:c>
      <x:c r="S36" s="13" t="str">
        <x:v>Подтверждённая точка</x:v>
      </x:c>
    </x:row>
    <x:row r="37">
      <x:c r="A37" s="13" t="n">
        <x:v>36</x:v>
      </x:c>
      <x:c r="B37" s="13" t="str">
        <x:v>A</x:v>
      </x:c>
      <x:c r="C37" s="13" t="str">
        <x:v>Marine solar / flexible PV</x:v>
      </x:c>
      <x:c r="D37" s="13" t="str">
        <x:v>Sungold Solar Co., Ltd. (Shenzhen)</x:v>
      </x:c>
      <x:c r="E37" s="13" t="str">
        <x:v>14.2</x:v>
      </x:c>
      <x:c r="F37" s="13" t="str">
        <x:v>14.2G44</x:v>
      </x:c>
      <x:c r="G37" s="13" t="str">
        <x:v>Semi-flexible and foldable solar modules</x:v>
      </x:c>
      <x:c r="H37" s="13" t="str">
        <x:v>Одна из самых точных точек под яхтенную солнечную систему: гибкие панели реально подходят по форм-фактору для крыши/палубы.</x:v>
      </x:c>
      <x:c r="I37" s="13" t="str">
        <x:v>Запросить marine use cases; ETFE/TPT surface; salt-mist; UV; bend radius; walkable/non-walkable; junction-box IP; custom dimensions; 24/48V MPPT pairing; warranty.</x:v>
      </x:c>
      <x:c r="J37" s="13" t="str">
        <x:v>Уточнить на стенде</x:v>
      </x:c>
      <x:c r="K37" s="13" t="str">
        <x:v>Через Canton Fair 365 / сайт</x:v>
      </x:c>
      <x:c r="L37" s="13" t="str">
        <x:v>https://www.sungoldsolar.com/</x:v>
      </x:c>
      <x:c r="M37" s="13" t="str">
        <x:v>ОФИЦИАЛЬНЫЙ Canton Fair 365</x:v>
      </x:c>
      <x:c r="N37" s="13" t="str">
        <x:v>https://365.cantonfair.org.cn/en-US/shops?id=1021788283</x:v>
      </x:c>
      <x:c r="O37" s="13" t="str">
        <x:v>Не посещено</x:v>
      </x:c>
      <x:c r="P37" s="13" t="str">
        <x:v>Нет</x:v>
      </x:c>
      <x:c r="Q37" s="13"/>
      <x:c r="R37" s="13" t="str">
        <x:f>IF(OR(ISNUMBER(SEARCH("Marine",C37)),ISNUMBER(SEARCH("яхт",C37)),ISNUMBER(SEARCH("генератор",C37)),ISNUMBER(SEARCH("Battery",C37)),ISNUMBER(SEARCH("Inverter",C37)),ISNUMBER(SEARCH("motor",C37)),ISNUMBER(SEARCH("Lighting",C37)),ISNUMBER(SEARCH("Audio",C37))),"YACHT / MARINE",IF(OR(ISNUMBER(SEARCH("ATV",C37)),ISNUMBER(SEARCH("UTV",C37)),ISNUMBER(SEARCH("snow",C37)),ISNUMBER(SEARCH("winter",C37))),"POWERSPORTS / WINTER",IF(OR(ISNUMBER(SEARCH("Auto",C37)),ISNUMBER(SEARCH("EV",C37)),ISNUMBER(SEARCH("vehicle",C37))),"AUTO / EV","INNOVATION / OTHER")))</x:f>
        <x:v>YACHT / MARINE</x:v>
      </x:c>
      <x:c r="S37" s="13" t="str">
        <x:v>Подтверждённая точка</x:v>
      </x:c>
    </x:row>
    <x:row r="38">
      <x:c r="A38" s="13" t="n">
        <x:v>37</x:v>
      </x:c>
      <x:c r="B38" s="13" t="str">
        <x:v>A</x:v>
      </x:c>
      <x:c r="C38" s="13" t="str">
        <x:v>Marine inverter / charger</x:v>
      </x:c>
      <x:c r="D38" s="13" t="str">
        <x:v>Beijing Multifit Electrical Technology</x:v>
      </x:c>
      <x:c r="E38" s="13" t="str">
        <x:v>14.2</x:v>
      </x:c>
      <x:c r="F38" s="13" t="str">
        <x:v>14.2C01-02; 14.2B43-44</x:v>
      </x:c>
      <x:c r="G38" s="13" t="str">
        <x:v>Pure sine inverters, inverter/chargers, controllers, batteries, hybrid power systems</x:v>
      </x:c>
      <x:c r="H38" s="13" t="str">
        <x:v>Точка для построения onboard AC/DC architecture: shore power → charger → battery → inverter.</x:v>
      </x:c>
      <x:c r="I38" s="13" t="str">
        <x:v>230V/50Hz; 24/48V battery input; pure sine; charger current; UPS transfer time; CAN/RS485; remote panel; galvanic isolation?; surge; tropicalization; salt-air coating; custom marine enclosure.</x:v>
      </x:c>
      <x:c r="J38" s="13" t="str">
        <x:v>Уточнить на стенде</x:v>
      </x:c>
      <x:c r="K38" s="13" t="str">
        <x:v>Через Canton Fair 365 / сайт</x:v>
      </x:c>
      <x:c r="L38" s="13" t="str">
        <x:v>https://www.multifitpower.com/</x:v>
      </x:c>
      <x:c r="M38" s="13" t="str">
        <x:v>ОФИЦИАЛЬНЫЙ Canton Fair 365</x:v>
      </x:c>
      <x:c r="N38" s="13" t="str">
        <x:v>https://365.cantonfair.org.cn/en-US/shops?id=1051781851</x:v>
      </x:c>
      <x:c r="O38" s="13" t="str">
        <x:v>Не посещено</x:v>
      </x:c>
      <x:c r="P38" s="13" t="str">
        <x:v>Нет</x:v>
      </x:c>
      <x:c r="Q38" s="13"/>
      <x:c r="R38" s="13" t="str">
        <x:f>IF(OR(ISNUMBER(SEARCH("Marine",C38)),ISNUMBER(SEARCH("яхт",C38)),ISNUMBER(SEARCH("генератор",C38)),ISNUMBER(SEARCH("Battery",C38)),ISNUMBER(SEARCH("Inverter",C38)),ISNUMBER(SEARCH("motor",C38)),ISNUMBER(SEARCH("Lighting",C38)),ISNUMBER(SEARCH("Audio",C38))),"YACHT / MARINE",IF(OR(ISNUMBER(SEARCH("ATV",C38)),ISNUMBER(SEARCH("UTV",C38)),ISNUMBER(SEARCH("snow",C38)),ISNUMBER(SEARCH("winter",C38))),"POWERSPORTS / WINTER",IF(OR(ISNUMBER(SEARCH("Auto",C38)),ISNUMBER(SEARCH("EV",C38)),ISNUMBER(SEARCH("vehicle",C38))),"AUTO / EV","INNOVATION / OTHER")))</x:f>
        <x:v>YACHT / MARINE</x:v>
      </x:c>
      <x:c r="S38" s="13" t="str">
        <x:v>Подтверждённая точка</x:v>
      </x:c>
    </x:row>
    <x:row r="39">
      <x:c r="A39" s="13" t="n">
        <x:v>38</x:v>
      </x:c>
      <x:c r="B39" s="13" t="str">
        <x:v>A</x:v>
      </x:c>
      <x:c r="C39" s="13" t="str">
        <x:v>Marine / stainless fasteners</x:v>
      </x:c>
      <x:c r="D39" s="13" t="str">
        <x:v>FASTO Industrial</x:v>
      </x:c>
      <x:c r="E39" s="13" t="str">
        <x:v>9.1</x:v>
      </x:c>
      <x:c r="F39" s="13" t="str">
        <x:v>9.1J15-16</x:v>
      </x:c>
      <x:c r="G39" s="13" t="str">
        <x:v>SS304/316/316L fasteners, bimetal screws, bolts, nuts, rivets, washers</x:v>
      </x:c>
      <x:c r="H39" s="13" t="str">
        <x:v>Сильная точка для морского крепежа: A4/316L, широкий BOM, OEM и материалная спецификация.</x:v>
      </x:c>
      <x:c r="I39" s="13" t="str">
        <x:v>Запросить A4-80/316L, PREN/material cert, passivation, salt spray, stainless mandrel rivets, MOQ, OEM drawings.</x:v>
      </x:c>
      <x:c r="J39" s="13" t="str">
        <x:v>Уточнить на стенде</x:v>
      </x:c>
      <x:c r="K39" s="13" t="str">
        <x:v>info@fastoscrews.com</x:v>
      </x:c>
      <x:c r="L39" s="13" t="str">
        <x:v>https://www.fastoscrews.com/</x:v>
      </x:c>
      <x:c r="M39" s="13" t="str">
        <x:v>Точный стенд подтверждён компанией</x:v>
      </x:c>
      <x:c r="N39" s="13" t="str">
        <x:v>https://www.fastoscrews.com/news/which-fastener-booth-should-you-vet-at-the-140th-canton-fair/</x:v>
      </x:c>
      <x:c r="O39" s="13" t="str">
        <x:v>Не посещено</x:v>
      </x:c>
      <x:c r="P39" s="13" t="str">
        <x:v>Нет</x:v>
      </x:c>
      <x:c r="Q39" s="13" t="str"/>
      <x:c r="R39" s="13" t="str">
        <x:v>YACHT / MARINE</x:v>
      </x:c>
      <x:c r="S39" s="13" t="str">
        <x:v>Подтверждённая точка</x:v>
      </x:c>
    </x:row>
    <x:row r="40">
      <x:c r="A40" s="13" t="n">
        <x:v>39</x:v>
      </x:c>
      <x:c r="B40" s="13" t="str">
        <x:v>A</x:v>
      </x:c>
      <x:c r="C40" s="13" t="str">
        <x:v>Marine / rigging &amp; fasteners</x:v>
      </x:c>
      <x:c r="D40" s="13" t="str">
        <x:v>Ningbo Weifeng Fastener</x:v>
      </x:c>
      <x:c r="E40" s="13" t="str">
        <x:v>9.1</x:v>
      </x:c>
      <x:c r="F40" s="13" t="str">
        <x:v>9.1I27-28</x:v>
      </x:c>
      <x:c r="G40" s="13" t="str">
        <x:v>A2/A4 stainless fasteners, rigging hardware, anchors, OEM drawing parts</x:v>
      </x:c>
      <x:c r="H40" s="13" t="str">
        <x:v>Дополняет Aleader/FASTO: крепёж и rigging hardware для яхт, deck и сервисных задач.</x:v>
      </x:c>
      <x:c r="I40" s="13" t="str">
        <x:v>A4-80 / 316L, rigging WLL, material cert, corrosion test, custom drawing, small batch/MOQ.</x:v>
      </x:c>
      <x:c r="J40" s="13" t="str">
        <x:v>Уточнить на стенде</x:v>
      </x:c>
      <x:c r="K40" s="13" t="str">
        <x:v>Через сайт</x:v>
      </x:c>
      <x:c r="L40" s="13" t="str">
        <x:v>https://www.wf-fastener.com/</x:v>
      </x:c>
      <x:c r="M40" s="13" t="str">
        <x:v>Точный стенд подтверждён компанией</x:v>
      </x:c>
      <x:c r="N40" s="13" t="str">
        <x:v>https://www.wf-fastener.com/Exhibitions-attended-ic3246166.html</x:v>
      </x:c>
      <x:c r="O40" s="13" t="str">
        <x:v>Не посещено</x:v>
      </x:c>
      <x:c r="P40" s="13" t="str">
        <x:v>Нет</x:v>
      </x:c>
      <x:c r="Q40" s="13" t="str"/>
      <x:c r="R40" s="13" t="str">
        <x:v>YACHT / MARINE</x:v>
      </x:c>
      <x:c r="S40" s="13" t="str">
        <x:v>Подтверждённая точка</x:v>
      </x:c>
    </x:row>
    <x:row r="41">
      <x:c r="A41" s="13" t="n">
        <x:v>40</x:v>
      </x:c>
      <x:c r="B41" s="13" t="str">
        <x:v>A</x:v>
      </x:c>
      <x:c r="C41" s="13" t="str">
        <x:v>Marine pumps / drainage</x:v>
      </x:c>
      <x:c r="D41" s="13" t="str">
        <x:v>SLAPK / APK Pump</x:v>
      </x:c>
      <x:c r="E41" s="13" t="str">
        <x:v>6.1</x:v>
      </x:c>
      <x:c r="F41" s="13" t="str">
        <x:v>6.1F06</x:v>
      </x:c>
      <x:c r="G41" s="13" t="str">
        <x:v>Submersible and drainage pumps</x:v>
      </x:c>
      <x:c r="H41" s="13" t="str">
        <x:v>Конкретная насосная точка для сравнения с Ruirong/MASTRA; полезна по drainage/wastewater.</x:v>
      </x:c>
      <x:c r="I41" s="13" t="str">
        <x:v>12/24V варианты? continuous duty; corrosion-resistant wetted parts; seals; flow/head; OEM; компактные модели.</x:v>
      </x:c>
      <x:c r="J41" s="13" t="str">
        <x:v>+86 13733193504</x:v>
      </x:c>
      <x:c r="K41" s="13" t="str">
        <x:v>enquiry03@apkpump.com</x:v>
      </x:c>
      <x:c r="L41" s="13" t="str">
        <x:v>https://www.submersible-waterpump.com/</x:v>
      </x:c>
      <x:c r="M41" s="13" t="str">
        <x:v>Точный стенд + контакт подтверждены</x:v>
      </x:c>
      <x:c r="N41" s="13" t="str">
        <x:v>https://www.waterpump-manufacturer.com/news/explore-pump-applications-with-slapk-at-canton-fair-2026-404608.html</x:v>
      </x:c>
      <x:c r="O41" s="13" t="str">
        <x:v>Не посещено</x:v>
      </x:c>
      <x:c r="P41" s="13" t="str">
        <x:v>Нет</x:v>
      </x:c>
      <x:c r="Q41" s="13" t="str"/>
      <x:c r="R41" s="13" t="str">
        <x:v>YACHT / MARINE</x:v>
      </x:c>
      <x:c r="S41" s="13" t="str">
        <x:v>Подтверждённая точка</x:v>
      </x:c>
    </x:row>
    <x:row r="42">
      <x:c r="A42" s="13" t="n">
        <x:v>41</x:v>
      </x:c>
      <x:c r="B42" s="13" t="str">
        <x:v>B</x:v>
      </x:c>
      <x:c r="C42" s="13" t="str">
        <x:v>Pump / solar water systems</x:v>
      </x:c>
      <x:c r="D42" s="13" t="str">
        <x:v>DIFFUL</x:v>
      </x:c>
      <x:c r="E42" s="13" t="str">
        <x:v>7.1 + 15.2</x:v>
      </x:c>
      <x:c r="F42" s="13" t="str">
        <x:v>7.1B23-24; 15.2I41</x:v>
      </x:c>
      <x:c r="G42" s="13" t="str">
        <x:v>Solar pumps, off-grid pump systems, controllers</x:v>
      </x:c>
      <x:c r="H42" s="13" t="str">
        <x:v>Смежная инженерная точка по DC/solar pumping и controllers; полезна для onboard auxiliary systems и автономных решений.</x:v>
      </x:c>
      <x:c r="I42" s="13" t="str">
        <x:v>DC pump curves, 24/48V, brushless motor, controller, IP, salt-water adaptation, OEM.</x:v>
      </x:c>
      <x:c r="J42" s="13" t="str">
        <x:v>Уточнить на стенде</x:v>
      </x:c>
      <x:c r="K42" s="13" t="str">
        <x:v>Через сайт</x:v>
      </x:c>
      <x:c r="L42" s="13" t="str">
        <x:v>https://www.diffulpump.com/</x:v>
      </x:c>
      <x:c r="M42" s="13" t="str">
        <x:v>Точные стенды подтверждены компанией</x:v>
      </x:c>
      <x:c r="N42" s="13" t="str">
        <x:v>https://www.diffulpump.com/newid1742061/NEWS-ON-EXHIBITION.htm</x:v>
      </x:c>
      <x:c r="O42" s="13" t="str">
        <x:v>Не посещено</x:v>
      </x:c>
      <x:c r="P42" s="13" t="str">
        <x:v>Нет</x:v>
      </x:c>
      <x:c r="Q42" s="13" t="str"/>
      <x:c r="R42" s="13" t="str">
        <x:v>YACHT / MARINE</x:v>
      </x:c>
      <x:c r="S42" s="13" t="str">
        <x:v>Подтверждённая точка</x:v>
      </x:c>
    </x:row>
    <x:row r="43">
      <x:c r="A43" s="13" t="n">
        <x:v>42</x:v>
      </x:c>
      <x:c r="B43" s="13" t="str">
        <x:v>A</x:v>
      </x:c>
      <x:c r="C43" s="13" t="str">
        <x:v>Marine electrical / circuit protection</x:v>
      </x:c>
      <x:c r="D43" s="13" t="str">
        <x:v>GACIA Electrical</x:v>
      </x:c>
      <x:c r="E43" s="13" t="str">
        <x:v>15.3</x:v>
      </x:c>
      <x:c r="F43" s="13" t="str">
        <x:v>15.3B26-28; 15.3C08-10</x:v>
      </x:c>
      <x:c r="G43" s="13" t="str">
        <x:v>MCB, RCCB, RCBO, MCCB and LV electrical protection</x:v>
      </x:c>
      <x:c r="H43" s="13" t="str">
        <x:v>Нужна для бортовой защиты цепей, если готова дать DC-rated / vibration/moisture-adapted изделия.</x:v>
      </x:c>
      <x:c r="I43" s="13" t="str">
        <x:v>DC ratings 12/24/48V; breaking capacity; vibration; panel mounting; moisture; CE/TÜV; custom distribution box; OEM.</x:v>
      </x:c>
      <x:c r="J43" s="13" t="str">
        <x:v>Уточнить на стенде</x:v>
      </x:c>
      <x:c r="K43" s="13" t="str">
        <x:v>Через бренд</x:v>
      </x:c>
      <x:c r="L43" s="13" t="str">
        <x:v>https://www.gacia.com/</x:v>
      </x:c>
      <x:c r="M43" s="13" t="str">
        <x:v>Точный стенд подтверждён компанией</x:v>
      </x:c>
      <x:c r="N43" s="13" t="str">
        <x:v>https://cn.linkedin.com/company/gacia</x:v>
      </x:c>
      <x:c r="O43" s="13" t="str">
        <x:v>Не посещено</x:v>
      </x:c>
      <x:c r="P43" s="13" t="str">
        <x:v>Нет</x:v>
      </x:c>
      <x:c r="Q43" s="13" t="str"/>
      <x:c r="R43" s="13" t="str">
        <x:v>YACHT / MARINE</x:v>
      </x:c>
      <x:c r="S43" s="13" t="str">
        <x:v>Подтверждённая точка</x:v>
      </x:c>
    </x:row>
    <x:row r="44">
      <x:c r="A44" s="13" t="n">
        <x:v>43</x:v>
      </x:c>
      <x:c r="B44" s="13" t="str">
        <x:v>A</x:v>
      </x:c>
      <x:c r="C44" s="13" t="str">
        <x:v>Marine electrical / distribution</x:v>
      </x:c>
      <x:c r="D44" s="13" t="str">
        <x:v>Shanghai DADA Electric</x:v>
      </x:c>
      <x:c r="E44" s="13" t="str">
        <x:v>15.3</x:v>
      </x:c>
      <x:c r="F44" s="13" t="str">
        <x:v>15.3C18-20; 15.3D20-22</x:v>
      </x:c>
      <x:c r="G44" s="13" t="str">
        <x:v>Circuit breakers and electrical protection devices</x:v>
      </x:c>
      <x:c r="H44" s="13" t="str">
        <x:v>Вторая сильная точка для сравнения защиты и OEM distribution equipment.</x:v>
      </x:c>
      <x:c r="I44" s="13" t="str">
        <x:v>DC MCB/MCCB, 2P, breaking capacity, CE/IEC, moisture/vibration, OEM panel components.</x:v>
      </x:c>
      <x:c r="J44" s="13" t="str">
        <x:v>Уточнить на стенде</x:v>
      </x:c>
      <x:c r="K44" s="13" t="str">
        <x:v>Через компанию</x:v>
      </x:c>
      <x:c r="L44" s="13" t="str">
        <x:v>—</x:v>
      </x:c>
      <x:c r="M44" s="13" t="str">
        <x:v>Точный стенд подтверждён компанией</x:v>
      </x:c>
      <x:c r="N44" s="13" t="str">
        <x:v>https://do.linkedin.com/company/shanghai-dada-electric-co-ltd</x:v>
      </x:c>
      <x:c r="O44" s="13" t="str">
        <x:v>Не посещено</x:v>
      </x:c>
      <x:c r="P44" s="13" t="str">
        <x:v>Нет</x:v>
      </x:c>
      <x:c r="Q44" s="13" t="str"/>
      <x:c r="R44" s="13" t="str">
        <x:v>YACHT / MARINE</x:v>
      </x:c>
      <x:c r="S44" s="13" t="str">
        <x:v>Подтверждённая точка</x:v>
      </x:c>
    </x:row>
    <x:row r="45">
      <x:c r="A45" s="13" t="n">
        <x:v>44</x:v>
      </x:c>
      <x:c r="B45" s="13" t="str">
        <x:v>A</x:v>
      </x:c>
      <x:c r="C45" s="13" t="str">
        <x:v>Marine electrical / LV + CEE</x:v>
      </x:c>
      <x:c r="D45" s="13" t="str">
        <x:v>EBASEE Electric</x:v>
      </x:c>
      <x:c r="E45" s="13" t="str">
        <x:v>15.3 + 14.2</x:v>
      </x:c>
      <x:c r="F45" s="13" t="str">
        <x:v>15.3D38-40; 15.3I03; 14.2B03-04</x:v>
      </x:c>
      <x:c r="G45" s="13" t="str">
        <x:v>MCB/RCCB/RCBO/MCCB, distribution boxes, industrial CEE plugs/sockets, PV/DC protection</x:v>
      </x:c>
      <x:c r="H45" s="13" t="str">
        <x:v>Очень полезна для shore-power и distribution: CEE connectors + protection в одной фабрике.</x:v>
      </x:c>
      <x:c r="I45" s="13" t="str">
        <x:v>CEE 16/32/63A IP67? 230V shore-power; DC breakers; enclosure IP; corrosion resistance; OEM distribution box.</x:v>
      </x:c>
      <x:c r="J45" s="13" t="str">
        <x:v>Уточнить на стенде</x:v>
      </x:c>
      <x:c r="K45" s="13" t="str">
        <x:v>Через бренд</x:v>
      </x:c>
      <x:c r="L45" s="13" t="str">
        <x:v>https://www.ebasee.com/</x:v>
      </x:c>
      <x:c r="M45" s="13" t="str">
        <x:v>Точные стенды подтверждены компанией</x:v>
      </x:c>
      <x:c r="N45" s="13" t="str">
        <x:v>https://cn.linkedin.com/company/ebasee-curcuitbreaker-manufacturing</x:v>
      </x:c>
      <x:c r="O45" s="13" t="str">
        <x:v>Не посещено</x:v>
      </x:c>
      <x:c r="P45" s="13" t="str">
        <x:v>Нет</x:v>
      </x:c>
      <x:c r="Q45" s="13" t="str"/>
      <x:c r="R45" s="13" t="str">
        <x:v>YACHT / MARINE</x:v>
      </x:c>
      <x:c r="S45" s="13" t="str">
        <x:v>Подтверждённая точка</x:v>
      </x:c>
    </x:row>
    <x:row r="46">
      <x:c r="A46" s="13" t="n">
        <x:v>45</x:v>
      </x:c>
      <x:c r="B46" s="13" t="str">
        <x:v>A</x:v>
      </x:c>
      <x:c r="C46" s="13" t="str">
        <x:v>Marine electrical / MCCB protection</x:v>
      </x:c>
      <x:c r="D46" s="13" t="str">
        <x:v>MAXGE Electric</x:v>
      </x:c>
      <x:c r="E46" s="13" t="str">
        <x:v>15.3 + 14.3</x:v>
      </x:c>
      <x:c r="F46" s="13" t="str">
        <x:v>15.3C29-30; 15.3D10-11; 14.3F23-25</x:v>
      </x:c>
      <x:c r="G46" s="13" t="str">
        <x:v>MCCB / protection / LV electrical</x:v>
      </x:c>
      <x:c r="H46" s="13" t="str">
        <x:v>Полезна для крупных DC/AC loads яхты и сравнения защитной аппаратуры.</x:v>
      </x:c>
      <x:c r="I46" s="13" t="str">
        <x:v>DC/AC ratings; Icu/Ics; 2P/3P/4P; marine enclosure feasibility; OEM; IEC/CE/TÜV.</x:v>
      </x:c>
      <x:c r="J46" s="13" t="str">
        <x:v>Уточнить на стенде</x:v>
      </x:c>
      <x:c r="K46" s="13" t="str">
        <x:v>market@maxge.com</x:v>
      </x:c>
      <x:c r="L46" s="13" t="str">
        <x:v>https://www.maxge.com/</x:v>
      </x:c>
      <x:c r="M46" s="13" t="str">
        <x:v>Точные стенды подтверждены компанией</x:v>
      </x:c>
      <x:c r="N46" s="13" t="str">
        <x:v>https://www.maxge.com/maxge-mccb-options-for-industrial-power-distribution/</x:v>
      </x:c>
      <x:c r="O46" s="13" t="str">
        <x:v>Не посещено</x:v>
      </x:c>
      <x:c r="P46" s="13" t="str">
        <x:v>Нет</x:v>
      </x:c>
      <x:c r="Q46" s="13" t="str"/>
      <x:c r="R46" s="13" t="str">
        <x:v>YACHT / MARINE</x:v>
      </x:c>
      <x:c r="S46" s="13" t="str">
        <x:v>Подтверждённая точка</x:v>
      </x:c>
    </x:row>
    <x:row r="47">
      <x:c r="A47" s="13" t="n">
        <x:v>46</x:v>
      </x:c>
      <x:c r="B47" s="13" t="str">
        <x:v>B</x:v>
      </x:c>
      <x:c r="C47" s="13" t="str">
        <x:v>Marine electrical / busbar</x:v>
      </x:c>
      <x:c r="D47" s="13" t="str">
        <x:v>Renyun Hunan Busbar</x:v>
      </x:c>
      <x:c r="E47" s="13" t="str">
        <x:v>16.3</x:v>
      </x:c>
      <x:c r="F47" s="13" t="str">
        <x:v>16.3E19</x:v>
      </x:c>
      <x:c r="G47" s="13" t="str">
        <x:v>Busbar power distribution systems</x:v>
      </x:c>
      <x:c r="H47" s="13" t="str">
        <x:v>Интересно для крупных яхт/катеров и custom DC/AC distribution, но нужно проверить компактные низковольтные решения.</x:v>
      </x:c>
      <x:c r="I47" s="13" t="str">
        <x:v>Copper/tinned copper, 12/24/48V custom busbar, enclosure/IP, current ratings, compact marine panel OEM.</x:v>
      </x:c>
      <x:c r="J47" s="13" t="str">
        <x:v>+86 15116342188</x:v>
      </x:c>
      <x:c r="K47" s="13" t="str">
        <x:v>Через бренд</x:v>
      </x:c>
      <x:c r="L47" s="13" t="str">
        <x:v>https://www.rybusway.com/</x:v>
      </x:c>
      <x:c r="M47" s="13" t="str">
        <x:v>Точный стенд подтверждён компанией</x:v>
      </x:c>
      <x:c r="N47" s="13" t="str">
        <x:v>https://www.linkedin.com/company/renyun</x:v>
      </x:c>
      <x:c r="O47" s="13" t="str">
        <x:v>Не посещено</x:v>
      </x:c>
      <x:c r="P47" s="13" t="str">
        <x:v>Нет</x:v>
      </x:c>
      <x:c r="Q47" s="13" t="str"/>
      <x:c r="R47" s="13" t="str">
        <x:v>YACHT / MARINE</x:v>
      </x:c>
      <x:c r="S47" s="13" t="str">
        <x:v>Подтверждённая точка</x:v>
      </x:c>
    </x:row>
    <x:row r="48">
      <x:c r="A48" s="13" t="n">
        <x:v>47</x:v>
      </x:c>
      <x:c r="B48" s="13" t="str">
        <x:v>A</x:v>
      </x:c>
      <x:c r="C48" s="13" t="str">
        <x:v>Audio OEM / waterproof development</x:v>
      </x:c>
      <x:c r="D48" s="13" t="str">
        <x:v>MIVOIS / Dongguan SYNST Electronics</x:v>
      </x:c>
      <x:c r="E48" s="13" t="str">
        <x:v>18.2</x:v>
      </x:c>
      <x:c r="F48" s="13" t="str">
        <x:v>18.2B04-06</x:v>
      </x:c>
      <x:c r="G48" s="13" t="str">
        <x:v>Bluetooth/smart speakers, LED audio systems, OEM/ODM; salt spray/vibration/high-low temp test capability</x:v>
      </x:c>
      <x:c r="H48" s="13" t="str">
        <x:v>Одна из лучших новых точек для разработки marine-audio private label, потому что у фабрики есть собственные тесты и вертикальная сборка.</x:v>
      </x:c>
      <x:c r="I48" s="13" t="str">
        <x:v>Спросить IP67 speaker development, UV/salt spray, 12/24V amplifier, marine grille, Class-D, DSP, private mold, MOQ.</x:v>
      </x:c>
      <x:c r="J48" s="13" t="str">
        <x:v>+86 13316654338</x:v>
      </x:c>
      <x:c r="K48" s="13" t="str">
        <x:v>mivois@intristing.com</x:v>
      </x:c>
      <x:c r="L48" s="13" t="str">
        <x:v>https://www.mivoiselec.com/</x:v>
      </x:c>
      <x:c r="M48" s="13" t="str">
        <x:v>Точный стенд + manufacturing/test capability подтверждены</x:v>
      </x:c>
      <x:c r="N48" s="13" t="str">
        <x:v>https://www.mivoiselec.com/</x:v>
      </x:c>
      <x:c r="O48" s="13" t="str">
        <x:v>Не посещено</x:v>
      </x:c>
      <x:c r="P48" s="13" t="str">
        <x:v>Нет</x:v>
      </x:c>
      <x:c r="Q48" s="13" t="str"/>
      <x:c r="R48" s="13" t="str">
        <x:v>YACHT / MARINE</x:v>
      </x:c>
      <x:c r="S48" s="13" t="str">
        <x:v>Подтверждённая точка</x:v>
      </x:c>
    </x:row>
    <x:row r="49">
      <x:c r="A49" s="13" t="n">
        <x:v>48</x:v>
      </x:c>
      <x:c r="B49" s="13" t="str">
        <x:v>B</x:v>
      </x:c>
      <x:c r="C49" s="13" t="str">
        <x:v>Audio OEM / outdoor speaker</x:v>
      </x:c>
      <x:c r="D49" s="13" t="str">
        <x:v>FIFINE</x:v>
      </x:c>
      <x:c r="E49" s="13" t="str">
        <x:v>18.2</x:v>
      </x:c>
      <x:c r="F49" s="13" t="str">
        <x:v>18.2G75-78</x:v>
      </x:c>
      <x:c r="G49" s="13" t="str">
        <x:v>Audio equipment, microphones, headsets, mixers and audio products</x:v>
      </x:c>
      <x:c r="H49" s="13" t="str">
        <x:v>Не marine-native, но сильная аудио/R&amp;D точка для поиска OEM-компонентов и supplier network.</x:v>
      </x:c>
      <x:c r="I49" s="13" t="str">
        <x:v>Outdoor/IP-rated audio? amplifier module? OEM acoustic engineering? salt/UV test? private label; запросить профильного инженера.</x:v>
      </x:c>
      <x:c r="J49" s="13" t="str">
        <x:v>Уточнить на стенде</x:v>
      </x:c>
      <x:c r="K49" s="13" t="str">
        <x:v>Через бренд</x:v>
      </x:c>
      <x:c r="L49" s="13" t="str">
        <x:v>https://fifinemicrophone.com/</x:v>
      </x:c>
      <x:c r="M49" s="13" t="str">
        <x:v>Точный стенд подтверждён брендом</x:v>
      </x:c>
      <x:c r="N49" s="13" t="str">
        <x:v>https://fifinemicrophone.com/ja-jp/blogs/news/fifine-invitation-at-2026-hong-kong-electronics-fair-140th-canton-fair</x:v>
      </x:c>
      <x:c r="O49" s="13" t="str">
        <x:v>Не посещено</x:v>
      </x:c>
      <x:c r="P49" s="13" t="str">
        <x:v>Нет</x:v>
      </x:c>
      <x:c r="Q49" s="13" t="str"/>
      <x:c r="R49" s="13" t="str">
        <x:v>YACHT / MARINE</x:v>
      </x:c>
      <x:c r="S49" s="13" t="str">
        <x:v>Подтверждённая точка</x:v>
      </x:c>
    </x:row>
    <x:row r="50">
      <x:c r="A50" s="13" t="n">
        <x:v>49</x:v>
      </x:c>
      <x:c r="B50" s="13" t="str">
        <x:v>A</x:v>
      </x:c>
      <x:c r="C50" s="13" t="str">
        <x:v>Infotainment / audio electronics</x:v>
      </x:c>
      <x:c r="D50" s="13" t="str">
        <x:v>Dongguan Flysonic Electronics</x:v>
      </x:c>
      <x:c r="E50" s="13" t="str">
        <x:v>18.2</x:v>
      </x:c>
      <x:c r="F50" s="13" t="str">
        <x:v>18.2F35</x:v>
      </x:c>
      <x:c r="G50" s="13" t="str">
        <x:v>Vehicle infotainment, Android head units, CANBUS integration, custom electronics</x:v>
      </x:c>
      <x:c r="H50" s="13" t="str">
        <x:v>Сильная смежная точка для yacht/ATV head-unit платформ: CAN, UI, wiring, software customization.</x:v>
      </x:c>
      <x:c r="I50" s="13" t="str">
        <x:v>12/24V; CANBUS; custom UI; IP-rated face? camera inputs; DSP; amplifier outputs; OEM/ODM; marine sealing feasibility.</x:v>
      </x:c>
      <x:c r="J50" s="13" t="str">
        <x:v>Уточнить на стенде</x:v>
      </x:c>
      <x:c r="K50" s="13" t="str">
        <x:v>Через LinkedIn/company</x:v>
      </x:c>
      <x:c r="L50" s="13" t="str">
        <x:v>—</x:v>
      </x:c>
      <x:c r="M50" s="13" t="str">
        <x:v>Точный стенд подтверждён компанией</x:v>
      </x:c>
      <x:c r="N50" s="13" t="str">
        <x:v>https://cn.linkedin.com/company/flysonic</x:v>
      </x:c>
      <x:c r="O50" s="13" t="str">
        <x:v>Не посещено</x:v>
      </x:c>
      <x:c r="P50" s="13" t="str">
        <x:v>Нет</x:v>
      </x:c>
      <x:c r="Q50" s="13" t="str"/>
      <x:c r="R50" s="13" t="str">
        <x:v>YACHT / MARINE</x:v>
      </x:c>
      <x:c r="S50" s="13" t="str">
        <x:v>Подтверждённая точка</x:v>
      </x:c>
    </x:row>
    <x:row r="51">
      <x:c r="A51" s="13" t="n">
        <x:v>50</x:v>
      </x:c>
      <x:c r="B51" s="13" t="str">
        <x:v>B</x:v>
      </x:c>
      <x:c r="C51" s="13" t="str">
        <x:v>Audio / pro audio</x:v>
      </x:c>
      <x:c r="D51" s="13" t="str">
        <x:v>FIFINE / creator audio</x:v>
      </x:c>
      <x:c r="E51" s="13" t="str">
        <x:v>18.2</x:v>
      </x:c>
      <x:c r="F51" s="13" t="str">
        <x:v>18.2G75-78</x:v>
      </x:c>
      <x:c r="G51" s="13" t="str">
        <x:v>Full-scenario audio equipment</x:v>
      </x:c>
      <x:c r="H51" s="13" t="str">
        <x:v>Вторая задача на этой точке — узнать OEM chain по speakers/amps и акустической разработке.</x:v>
      </x:c>
      <x:c r="I51" s="13" t="str">
        <x:v>Factory/OEM partners for waterproof speaker? DSP/amp modules? MOQ/private mold.</x:v>
      </x:c>
      <x:c r="J51" s="13" t="str">
        <x:v>Уточнить на стенде</x:v>
      </x:c>
      <x:c r="K51" s="13" t="str">
        <x:v>Через бренд</x:v>
      </x:c>
      <x:c r="L51" s="13" t="str">
        <x:v>https://fifinemicrophone.com/</x:v>
      </x:c>
      <x:c r="M51" s="13" t="str">
        <x:v>Точный стенд подтверждён брендом</x:v>
      </x:c>
      <x:c r="N51" s="13" t="str">
        <x:v>https://fifinemicrophone.com/ja-jp/blogs/news/fifine-invitation-at-2026-hong-kong-electronics-fair-140th-canton-fair</x:v>
      </x:c>
      <x:c r="O51" s="13" t="str">
        <x:v>Не посещено</x:v>
      </x:c>
      <x:c r="P51" s="13" t="str">
        <x:v>Нет</x:v>
      </x:c>
      <x:c r="Q51" s="13" t="str"/>
      <x:c r="R51" s="13" t="str">
        <x:v>YACHT / MARINE</x:v>
      </x:c>
      <x:c r="S51" s="13" t="str">
        <x:v>Подтверждённая точка</x:v>
      </x:c>
    </x:row>
    <x:row r="52">
      <x:c r="A52" s="13" t="n">
        <x:v>51</x:v>
      </x:c>
      <x:c r="B52" s="13" t="str">
        <x:v>A</x:v>
      </x:c>
      <x:c r="C52" s="13" t="str">
        <x:v>ATV / electric mobility</x:v>
      </x:c>
      <x:c r="D52" s="13" t="str">
        <x:v>YADEA</x:v>
      </x:c>
      <x:c r="E52" s="13" t="str">
        <x:v>14.1</x:v>
      </x:c>
      <x:c r="F52" s="13" t="str">
        <x:v>14.1C32-35; 14.1D08-11</x:v>
      </x:c>
      <x:c r="G52" s="13" t="str">
        <x:v>Latest electric two-wheelers, motors, controllers, battery systems</x:v>
      </x:c>
      <x:c r="H52" s="13" t="str">
        <x:v>Не ATV напрямую, но одна из лучших точек по electric drivetrain/battery/controller supplier chain для будущих electric powersports.</x:v>
      </x:c>
      <x:c r="I52" s="13" t="str">
        <x:v>Motor/controller suppliers, battery architecture, CAN, thermal management, factory visit, export/dealer contacts.</x:v>
      </x:c>
      <x:c r="J52" s="13" t="str">
        <x:v>Уточнить на стенде</x:v>
      </x:c>
      <x:c r="K52" s="13" t="str">
        <x:v>Через YADEA</x:v>
      </x:c>
      <x:c r="L52" s="13" t="str">
        <x:v>https://www.yadea.com/</x:v>
      </x:c>
      <x:c r="M52" s="13" t="str">
        <x:v>Точный стенд подтверждён брендом</x:v>
      </x:c>
      <x:c r="N52" s="13" t="str">
        <x:v>https://www.sotwe.com/yadeaglobal</x:v>
      </x:c>
      <x:c r="O52" s="13" t="str">
        <x:v>Не посещено</x:v>
      </x:c>
      <x:c r="P52" s="13" t="str">
        <x:v>Нет</x:v>
      </x:c>
      <x:c r="Q52" s="13" t="str"/>
      <x:c r="R52" s="13" t="str">
        <x:v>POWERSPORTS / WINTER</x:v>
      </x:c>
      <x:c r="S52" s="13" t="str">
        <x:v>Подтверждённая точка</x:v>
      </x:c>
    </x:row>
    <x:row r="53">
      <x:c r="A53" s="13" t="n">
        <x:v>52</x:v>
      </x:c>
      <x:c r="B53" s="13" t="str">
        <x:v>B</x:v>
      </x:c>
      <x:c r="C53" s="13" t="str">
        <x:v>Off-road motorcycles / powersports</x:v>
      </x:c>
      <x:c r="D53" s="13" t="str">
        <x:v>NICOT MOTO</x:v>
      </x:c>
      <x:c r="E53" s="13" t="str">
        <x:v>14.1</x:v>
      </x:c>
      <x:c r="F53" s="13" t="str">
        <x:v>14.1H25-27</x:v>
      </x:c>
      <x:c r="G53" s="13" t="str">
        <x:v>Source-factory off-road motorcycles / dirt bikes</x:v>
      </x:c>
      <x:c r="H53" s="13" t="str">
        <x:v>Полезна для расширения powersports и поиска engine/suspension/brake supplier chain.</x:v>
      </x:c>
      <x:c r="I53" s="13" t="str">
        <x:v>OEM/ODM, engine suppliers, suspension, brakes, plastics, FOB, spare parts, dealer terms.</x:v>
      </x:c>
      <x:c r="J53" s="13" t="str">
        <x:v>Уточнить на стенде</x:v>
      </x:c>
      <x:c r="K53" s="13" t="str">
        <x:v>Через бренд</x:v>
      </x:c>
      <x:c r="L53" s="13" t="str">
        <x:v>—</x:v>
      </x:c>
      <x:c r="M53" s="13" t="str">
        <x:v>Точный стенд подтверждён приглашением</x:v>
      </x:c>
      <x:c r="N53" s="13" t="str">
        <x:v>https://www.autoyas.com/CN/Unknown/458979647905241/NICOT-MOTO</x:v>
      </x:c>
      <x:c r="O53" s="13" t="str">
        <x:v>Не посещено</x:v>
      </x:c>
      <x:c r="P53" s="13" t="str">
        <x:v>Нет</x:v>
      </x:c>
      <x:c r="Q53" s="13" t="str"/>
      <x:c r="R53" s="13" t="str">
        <x:v>POWERSPORTS / WINTER</x:v>
      </x:c>
      <x:c r="S53" s="13" t="str">
        <x:v>Подтверждённая точка</x:v>
      </x:c>
    </x:row>
    <x:row r="54">
      <x:c r="A54" s="13" t="n">
        <x:v>53</x:v>
      </x:c>
      <x:c r="B54" s="13" t="str">
        <x:v>B</x:v>
      </x:c>
      <x:c r="C54" s="13" t="str">
        <x:v>Motorcycles / supplier chain</x:v>
      </x:c>
      <x:c r="D54" s="13" t="str">
        <x:v>KAMAX</x:v>
      </x:c>
      <x:c r="E54" s="13" t="str">
        <x:v>15.1</x:v>
      </x:c>
      <x:c r="F54" s="13" t="str">
        <x:v>15.1C14-16</x:v>
      </x:c>
      <x:c r="G54" s="13" t="str">
        <x:v>OEM/ODM motorcycles, homologation, spare-parts and after-sales</x:v>
      </x:c>
      <x:c r="H54" s="13" t="str">
        <x:v>Полезна для supplier chain по моторам, подвеске и off-road; готовый экспортный OEM.</x:v>
      </x:c>
      <x:c r="I54" s="13" t="str">
        <x:v>OEM models, export docs, Euro/EEC, spare parts, factory tour, engine/suspension suppliers.</x:v>
      </x:c>
      <x:c r="J54" s="13" t="str">
        <x:v>Уточнить на стенде</x:v>
      </x:c>
      <x:c r="K54" s="13" t="str">
        <x:v>Через бренд</x:v>
      </x:c>
      <x:c r="L54" s="13" t="str">
        <x:v>https://www.kamaxgroup.com/</x:v>
      </x:c>
      <x:c r="M54" s="13" t="str">
        <x:v>Точный стенд подтверждён компанией</x:v>
      </x:c>
      <x:c r="N54" s="13" t="str">
        <x:v>https://www.kamaxgroup.com/</x:v>
      </x:c>
      <x:c r="O54" s="13" t="str">
        <x:v>Не посещено</x:v>
      </x:c>
      <x:c r="P54" s="13" t="str">
        <x:v>Нет</x:v>
      </x:c>
      <x:c r="Q54" s="13" t="str"/>
      <x:c r="R54" s="13" t="str">
        <x:v>POWERSPORTS / WINTER</x:v>
      </x:c>
      <x:c r="S54" s="13" t="str">
        <x:v>Подтверждённая точка</x:v>
      </x:c>
    </x:row>
    <x:row r="55">
      <x:c r="A55" s="13" t="n">
        <x:v>54</x:v>
      </x:c>
      <x:c r="B55" s="13" t="str">
        <x:v>B</x:v>
      </x:c>
      <x:c r="C55" s="13" t="str">
        <x:v>Motorcycles / supplier chain</x:v>
      </x:c>
      <x:c r="D55" s="13" t="str">
        <x:v>HAOJIN Motor</x:v>
      </x:c>
      <x:c r="E55" s="13" t="str">
        <x:v>15.1</x:v>
      </x:c>
      <x:c r="F55" s="13" t="str">
        <x:v>15.1G34-39; 15.1H06-11</x:v>
      </x:c>
      <x:c r="G55" s="13" t="str">
        <x:v>Motorcycles and new models</x:v>
      </x:c>
      <x:c r="H55" s="13" t="str">
        <x:v>Крупная производственная точка для сравнения платформ, двигателей и экспортных условий.</x:v>
      </x:c>
      <x:c r="I55" s="13" t="str">
        <x:v>Off-road/utility models, engines, spare parts, export markets, OEM, factory contact.</x:v>
      </x:c>
      <x:c r="J55" s="13" t="str">
        <x:v>Уточнить на стенде</x:v>
      </x:c>
      <x:c r="K55" s="13" t="str">
        <x:v>Через бренд</x:v>
      </x:c>
      <x:c r="L55" s="13" t="str">
        <x:v>https://en.haojin.com.cn/</x:v>
      </x:c>
      <x:c r="M55" s="13" t="str">
        <x:v>Точный стенд подтверждён компанией</x:v>
      </x:c>
      <x:c r="N55" s="13" t="str">
        <x:v>https://rw.linkedin.com/company/haojinmotor</x:v>
      </x:c>
      <x:c r="O55" s="13" t="str">
        <x:v>Не посещено</x:v>
      </x:c>
      <x:c r="P55" s="13" t="str">
        <x:v>Нет</x:v>
      </x:c>
      <x:c r="Q55" s="13" t="str"/>
      <x:c r="R55" s="13" t="str">
        <x:v>POWERSPORTS / WINTER</x:v>
      </x:c>
      <x:c r="S55" s="13" t="str">
        <x:v>Подтверждённая точка</x:v>
      </x:c>
    </x:row>
    <x:row r="56">
      <x:c r="A56" s="13" t="n">
        <x:v>55</x:v>
      </x:c>
      <x:c r="B56" s="13" t="str">
        <x:v>A</x:v>
      </x:c>
      <x:c r="C56" s="13" t="str">
        <x:v>Snow / garden machinery supplier chain</x:v>
      </x:c>
      <x:c r="D56" s="13" t="str">
        <x:v>LEO Garden</x:v>
      </x:c>
      <x:c r="E56" s="13" t="str">
        <x:v>10.2</x:v>
      </x:c>
      <x:c r="F56" s="13" t="str">
        <x:v>10.2G40-41; 10.2H06-07</x:v>
      </x:c>
      <x:c r="G56" s="13" t="str">
        <x:v>Lawn &amp; garden machinery, power-equipment manufacturer</x:v>
      </x:c>
      <x:c r="H56" s="13" t="str">
        <x:v>Конкретная вторая фабрика для snow-equipment sourcing chain после DAYE: спрашивать winter line и snow thrower platforms.</x:v>
      </x:c>
      <x:c r="I56" s="13" t="str">
        <x:v>Snow blower/sweeper current line? engines, battery platform, low-temp specs, OEM, spare parts, Russia/CIS.</x:v>
      </x:c>
      <x:c r="J56" s="13" t="str">
        <x:v>Уточнить на стенде</x:v>
      </x:c>
      <x:c r="K56" s="13" t="str">
        <x:v>Через сайт</x:v>
      </x:c>
      <x:c r="L56" s="13" t="str">
        <x:v>https://www.leogardenmachine.com/</x:v>
      </x:c>
      <x:c r="M56" s="13" t="str">
        <x:v>Точный стенд подтверждён компанией</x:v>
      </x:c>
      <x:c r="N56" s="13" t="str">
        <x:v>https://www.leogardenmachine.com/leo-garden-to-exhibit-at-the-140th-canton-fair-2026</x:v>
      </x:c>
      <x:c r="O56" s="13" t="str">
        <x:v>Не посещено</x:v>
      </x:c>
      <x:c r="P56" s="13" t="str">
        <x:v>Нет</x:v>
      </x:c>
      <x:c r="Q56" s="13" t="str"/>
      <x:c r="R56" s="13" t="str">
        <x:v>POWERSPORTS / WINTER</x:v>
      </x:c>
      <x:c r="S56" s="13" t="str">
        <x:v>Подтверждённая точка</x:v>
      </x:c>
    </x:row>
    <x:row r="57">
      <x:c r="A57" s="13" t="n">
        <x:v>56</x:v>
      </x:c>
      <x:c r="B57" s="13" t="str">
        <x:v>A</x:v>
      </x:c>
      <x:c r="C57" s="13" t="str">
        <x:v>Автомобили / EV export</x:v>
      </x:c>
      <x:c r="D57" s="13" t="str">
        <x:v>Jonway EV</x:v>
      </x:c>
      <x:c r="E57" s="13" t="str">
        <x:v>15.1</x:v>
      </x:c>
      <x:c r="F57" s="13" t="str">
        <x:v>15.1B43-44; 15.1C01-02</x:v>
      </x:c>
      <x:c r="G57" s="13" t="str">
        <x:v>EV models / export-oriented vehicle manufacturer</x:v>
      </x:c>
      <x:c r="H57" s="13" t="str">
        <x:v>Конкретная автомобильная точка с подтверждённым стендом; брать export conditions и модели.</x:v>
      </x:c>
      <x:c r="I57" s="13" t="str">
        <x:v>EXW/FOB; VIN/docs; battery warranty; spare parts; export certification; CIS/Kyrgyzstan experience; lead time.</x:v>
      </x:c>
      <x:c r="J57" s="13" t="str">
        <x:v>Уточнить на стенде</x:v>
      </x:c>
      <x:c r="K57" s="13" t="str">
        <x:v>Через бренд</x:v>
      </x:c>
      <x:c r="L57" s="13" t="str">
        <x:v>https://www.jonwayev.com/</x:v>
      </x:c>
      <x:c r="M57" s="13" t="str">
        <x:v>Точный стенд подтверждён брендом</x:v>
      </x:c>
      <x:c r="N57" s="13" t="str">
        <x:v>https://www.jonwayev.com/events</x:v>
      </x:c>
      <x:c r="O57" s="13" t="str">
        <x:v>Не посещено</x:v>
      </x:c>
      <x:c r="P57" s="13" t="str">
        <x:v>Нет</x:v>
      </x:c>
      <x:c r="Q57" s="13" t="str"/>
      <x:c r="R57" s="13" t="str">
        <x:v>AUTO / EV</x:v>
      </x:c>
      <x:c r="S57" s="13" t="str">
        <x:v>Подтверждённая точка</x:v>
      </x:c>
    </x:row>
    <x:row r="58">
      <x:c r="A58" s="13" t="n">
        <x:v>57</x:v>
      </x:c>
      <x:c r="B58" s="13" t="str">
        <x:v>A</x:v>
      </x:c>
      <x:c r="C58" s="13" t="str">
        <x:v>Автомобили / экспортёр</x:v>
      </x:c>
      <x:c r="D58" s="13" t="str">
        <x:v>DUDU Auto Export</x:v>
      </x:c>
      <x:c r="E58" s="13" t="str">
        <x:v>8.1</x:v>
      </x:c>
      <x:c r="F58" s="13" t="str">
        <x:v>8.1E44-47</x:v>
      </x:c>
      <x:c r="G58" s="13" t="str">
        <x:v>Chinese vehicle sourcing/export: BYD, Geely, Changan and multiple brands</x:v>
      </x:c>
      <x:c r="H58" s="13" t="str">
        <x:v>Не фабрика, а важная экспортная точка для сравнения реальных экспортных цен/документов и доступности брендов.</x:v>
      </x:c>
      <x:c r="I58" s="13" t="str">
        <x:v>Stock list; EXW/FOB; China domestic trims; export docs; Kyrgyzstan route; payment; warranty; lead time; wholesale discounts.</x:v>
      </x:c>
      <x:c r="J58" s="13" t="str">
        <x:v>Уточнить на стенде</x:v>
      </x:c>
      <x:c r="K58" s="13" t="str">
        <x:v>Через DUDU</x:v>
      </x:c>
      <x:c r="L58" s="13" t="str">
        <x:v>—</x:v>
      </x:c>
      <x:c r="M58" s="13" t="str">
        <x:v>Точный стенд подтверждён экспортёром</x:v>
      </x:c>
      <x:c r="N58" s="13" t="str">
        <x:v>https://www.autos1000.com/CN/Chongqing/103305352580841/DuDu-electric-cars</x:v>
      </x:c>
      <x:c r="O58" s="13" t="str">
        <x:v>Не посещено</x:v>
      </x:c>
      <x:c r="P58" s="13" t="str">
        <x:v>Нет</x:v>
      </x:c>
      <x:c r="Q58" s="13" t="str"/>
      <x:c r="R58" s="13" t="str">
        <x:v>AUTO / EV</x:v>
      </x:c>
      <x:c r="S58" s="13" t="str">
        <x:v>Подтверждённая точка</x:v>
      </x:c>
    </x:row>
    <x:row r="59">
      <x:c r="A59" s="13" t="n">
        <x:v>58</x:v>
      </x:c>
      <x:c r="B59" s="13" t="str">
        <x:v>B</x:v>
      </x:c>
      <x:c r="C59" s="13" t="str">
        <x:v>Авто / special vehicles</x:v>
      </x:c>
      <x:c r="D59" s="13" t="str">
        <x:v>Tongya Automobile</x:v>
      </x:c>
      <x:c r="E59" s="13" t="str">
        <x:v>11.3</x:v>
      </x:c>
      <x:c r="F59" s="13" t="str">
        <x:v>11.3K17</x:v>
      </x:c>
      <x:c r="G59" s="13" t="str">
        <x:v>Semi-trailers, tankers, special-purpose vehicles</x:v>
      </x:c>
      <x:c r="H59" s="13" t="str">
        <x:v>Не легковые авто, но коммерчески сильная B2B точка: trailers/special vehicles и крупный чек.</x:v>
      </x:c>
      <x:c r="I59" s="13" t="str">
        <x:v>FOB, container/flatbed/tanker options, homologation, custom body, spare parts, CIS export.</x:v>
      </x:c>
      <x:c r="J59" s="13" t="str">
        <x:v>+86 13791725138</x:v>
      </x:c>
      <x:c r="K59" s="13" t="str">
        <x:v>ctac@cnctac.com</x:v>
      </x:c>
      <x:c r="L59" s="13" t="str">
        <x:v>https://www.trailerfactory.cn/</x:v>
      </x:c>
      <x:c r="M59" s="13" t="str">
        <x:v>Точный стенд + контакт подтверждены</x:v>
      </x:c>
      <x:c r="N59" s="13" t="str">
        <x:v>https://www.trailerfactory.cn/news/news/Tongya-Automobile-will-participate-in-the-140th-Canton-Fair-from-October-15-to-19-the-booth-number-is-11-3K17.html</x:v>
      </x:c>
      <x:c r="O59" s="13" t="str">
        <x:v>Не посещено</x:v>
      </x:c>
      <x:c r="P59" s="13" t="str">
        <x:v>Нет</x:v>
      </x:c>
      <x:c r="Q59" s="13" t="str"/>
      <x:c r="R59" s="13" t="str">
        <x:v>AUTO / EV</x:v>
      </x:c>
      <x:c r="S59" s="13" t="str">
        <x:v>Подтверждённая точка</x:v>
      </x:c>
    </x:row>
    <x:row r="60">
      <x:c r="A60" s="13" t="n">
        <x:v>59</x:v>
      </x:c>
      <x:c r="B60" s="13" t="str">
        <x:v>B</x:v>
      </x:c>
      <x:c r="C60" s="13" t="str">
        <x:v>Rugged electronics / innovation</x:v>
      </x:c>
      <x:c r="D60" s="13" t="str">
        <x:v>Ulefone</x:v>
      </x:c>
      <x:c r="E60" s="13" t="str">
        <x:v>18.2</x:v>
      </x:c>
      <x:c r="F60" s="13" t="str">
        <x:v>18.2K24</x:v>
      </x:c>
      <x:c r="G60" s="13" t="str">
        <x:v>Rugged devices, thermal imaging, laser ranging, accessories</x:v>
      </x:c>
      <x:c r="H60" s="13" t="str">
        <x:v>Инновационная точка, связанная с экспедициями, яхтами, ATV и сервисными командами; возможен сопутствующий high-margin товар.</x:v>
      </x:c>
      <x:c r="I60" s="13" t="str">
        <x:v>Thermal/laser rugged devices, IP rating, OEM/distributor terms, fleet use, accessories.</x:v>
      </x:c>
      <x:c r="J60" s="13" t="str">
        <x:v>Уточнить на стенде</x:v>
      </x:c>
      <x:c r="K60" s="13" t="str">
        <x:v>Через бренд</x:v>
      </x:c>
      <x:c r="L60" s="13" t="str">
        <x:v>https://www.ulefone.com/</x:v>
      </x:c>
      <x:c r="M60" s="13" t="str">
        <x:v>Точный стенд подтверждён компанией</x:v>
      </x:c>
      <x:c r="N60" s="13" t="str">
        <x:v>https://www.ulefone.com/pages/canton-fair</x:v>
      </x:c>
      <x:c r="O60" s="13" t="str">
        <x:v>Не посещено</x:v>
      </x:c>
      <x:c r="P60" s="13" t="str">
        <x:v>Нет</x:v>
      </x:c>
      <x:c r="Q60" s="13" t="str"/>
      <x:c r="R60" s="13" t="str">
        <x:v>INNOVATION / OTHER</x:v>
      </x:c>
      <x:c r="S60" s="13" t="str">
        <x:v>Подтверждённая точка</x:v>
      </x:c>
    </x:row>
    <x:row r="61">
      <x:c r="A61" s="13" t="n">
        <x:v>60</x:v>
      </x:c>
      <x:c r="B61" s="13" t="str">
        <x:v>B</x:v>
      </x:c>
      <x:c r="C61" s="13" t="str">
        <x:v>Industrial UAV / innovation</x:v>
      </x:c>
      <x:c r="D61" s="13" t="str">
        <x:v>JOUAV</x:v>
      </x:c>
      <x:c r="E61" s="13" t="str">
        <x:v>20.2</x:v>
      </x:c>
      <x:c r="F61" s="13" t="str">
        <x:v>20.2B36</x:v>
      </x:c>
      <x:c r="G61" s="13" t="str">
        <x:v>CW-30E VTOL UAV and autonomous drone-in-a-box</x:v>
      </x:c>
      <x:c r="H61" s="13" t="str">
        <x:v>Связано с инспекцией логистики, яхт, инфраструктуры и B2B; потенциально новое премиальное направление.</x:v>
      </x:c>
      <x:c r="I61" s="13" t="str">
        <x:v>Distributor model, payloads, endurance, autonomous dock, certifications, export restrictions, support.</x:v>
      </x:c>
      <x:c r="J61" s="13" t="str">
        <x:v>Уточнить на стенде</x:v>
      </x:c>
      <x:c r="K61" s="13" t="str">
        <x:v>Через бренд</x:v>
      </x:c>
      <x:c r="L61" s="13" t="str">
        <x:v>https://www.jouav.com/</x:v>
      </x:c>
      <x:c r="M61" s="13" t="str">
        <x:v>Точный стенд подтверждён компанией</x:v>
      </x:c>
      <x:c r="N61" s="13" t="str">
        <x:v>https://www.jouav.com/zh/news/140th-canton-fair-2026.html</x:v>
      </x:c>
      <x:c r="O61" s="13" t="str">
        <x:v>Не посещено</x:v>
      </x:c>
      <x:c r="P61" s="13" t="str">
        <x:v>Нет</x:v>
      </x:c>
      <x:c r="Q61" s="13" t="str"/>
      <x:c r="R61" s="13" t="str">
        <x:v>INNOVATION / OTHER</x:v>
      </x:c>
      <x:c r="S61" s="13" t="str">
        <x:v>Подтверждённая точка</x:v>
      </x:c>
    </x:row>
    <x:row r="62">
      <x:c r="A62" s="13" t="n">
        <x:v>61</x:v>
      </x:c>
      <x:c r="B62" s="13" t="str">
        <x:v>B</x:v>
      </x:c>
      <x:c r="C62" s="13" t="str">
        <x:v>Special-vehicle lighting / searchlights</x:v>
      </x:c>
      <x:c r="D62" s="13" t="str">
        <x:v>SENKEN Group</x:v>
      </x:c>
      <x:c r="E62" s="13" t="str">
        <x:v>10.3</x:v>
      </x:c>
      <x:c r="F62" s="13" t="str">
        <x:v>10.3K17</x:v>
      </x:c>
      <x:c r="G62" s="13" t="str">
        <x:v>Search lights, warning lights, special-vehicle lighting/control</x:v>
      </x:c>
      <x:c r="H62" s="13" t="str">
        <x:v>Не yacht-native, но searchlight/10–30V electronics очень релевантны rugged/utility/marine auxiliary applications.</x:v>
      </x:c>
      <x:c r="I62" s="13" t="str">
        <x:v>Searchlight specs, 12/24V, IP, corrosion, remote control, beam distance, OEM, marine adaptation.</x:v>
      </x:c>
      <x:c r="J62" s="13" t="str">
        <x:v>Уточнить на стенде</x:v>
      </x:c>
      <x:c r="K62" s="13" t="str">
        <x:v>Через бренд</x:v>
      </x:c>
      <x:c r="L62" s="13" t="str">
        <x:v>https://www.senken-group.com/</x:v>
      </x:c>
      <x:c r="M62" s="13" t="str">
        <x:v>Точный стенд подтверждён компанией</x:v>
      </x:c>
      <x:c r="N62" s="13" t="str">
        <x:v>https://cn.linkedin.com/company/senken-group-co-ltd</x:v>
      </x:c>
      <x:c r="O62" s="13" t="str">
        <x:v>Не посещено</x:v>
      </x:c>
      <x:c r="P62" s="13" t="str">
        <x:v>Нет</x:v>
      </x:c>
      <x:c r="Q62" s="13" t="str"/>
      <x:c r="R62" s="13" t="str">
        <x:v>YACHT / MARINE</x:v>
      </x:c>
      <x:c r="S62" s="13" t="str">
        <x:v>Подтверждённая точка</x:v>
      </x:c>
    </x:row>
    <x:row r="63">
      <x:c r="A63" s="13" t="n">
        <x:v>62</x:v>
      </x:c>
      <x:c r="B63" s="13" t="str">
        <x:v>B</x:v>
      </x:c>
      <x:c r="C63" s="13" t="str">
        <x:v>Audio OEM / lifestyle speakers</x:v>
      </x:c>
      <x:c r="D63" s="13" t="str">
        <x:v>MIVOIS additional audio</x:v>
      </x:c>
      <x:c r="E63" s="13" t="str">
        <x:v>18.2</x:v>
      </x:c>
      <x:c r="F63" s="13" t="str">
        <x:v>18.2B04-06</x:v>
      </x:c>
      <x:c r="G63" s="13" t="str">
        <x:v>Bluetooth/smart speakers with vertical integration</x:v>
      </x:c>
      <x:c r="H63" s="13" t="str">
        <x:v>На той же точке отдельно оценить готовые outdoor/IP speaker platforms как быстрый путь в private-label marine-adjacent audio.</x:v>
      </x:c>
      <x:c r="I63" s="13" t="str">
        <x:v>IPX7/IP67 existing models, private mold, acoustic tuning, salt-spray, vibration, low-temp test, MOQ.</x:v>
      </x:c>
      <x:c r="J63" s="13" t="str">
        <x:v>+86 13316654338</x:v>
      </x:c>
      <x:c r="K63" s="13" t="str">
        <x:v>mivois@intristing.com</x:v>
      </x:c>
      <x:c r="L63" s="13" t="str">
        <x:v>https://www.mivoiselec.com/</x:v>
      </x:c>
      <x:c r="M63" s="13" t="str">
        <x:v>Точный стенд + тестовая база подтверждены</x:v>
      </x:c>
      <x:c r="N63" s="13" t="str">
        <x:v>https://www.mivoiselec.com/</x:v>
      </x:c>
      <x:c r="O63" s="13" t="str">
        <x:v>Не посещено</x:v>
      </x:c>
      <x:c r="P63" s="13" t="str">
        <x:v>Нет</x:v>
      </x:c>
      <x:c r="Q63" s="13" t="str"/>
      <x:c r="R63" s="13" t="str">
        <x:v>YACHT / MARINE</x:v>
      </x:c>
      <x:c r="S63" s="13" t="str">
        <x:v>Подтверждённая точка</x:v>
      </x:c>
    </x:row>
    <x:row r="64">
      <x:c r="A64" s="13" t="n">
        <x:v>63</x:v>
      </x:c>
      <x:c r="B64" s="13" t="str">
        <x:v>A</x:v>
      </x:c>
      <x:c r="C64" s="13" t="str">
        <x:v>Автомобили / экспортёр</x:v>
      </x:c>
      <x:c r="D64" s="13" t="str">
        <x:v>TALENET Auto</x:v>
      </x:c>
      <x:c r="E64" s="13" t="str">
        <x:v>13.0</x:v>
      </x:c>
      <x:c r="F64" s="13" t="str">
        <x:v>13.0C40</x:v>
      </x:c>
      <x:c r="G64" s="13" t="str">
        <x:v>Passenger cars, buses, commercial vehicles, used vehicles, trailers, special-purpose vehicles</x:v>
      </x:c>
      <x:c r="H64" s="13" t="str">
        <x:v>Очень полезная конкретная точка под закупку автомобилей: один экспортёр закрывает passenger cars и коммерческий транспорт и прямо приглашает обсуждать sourcing под рынок.</x:v>
      </x:c>
      <x:c r="I64" s="13" t="str">
        <x:v>Запросить список доступных passenger cars; EXW/FOB; бренды; китайские комплектации; документы; экспорт в Кыргызстан/РФ; сроки; оплата; гарантия; оптовые скидки.</x:v>
      </x:c>
      <x:c r="J64" s="13" t="str">
        <x:v>+86 15303715434</x:v>
      </x:c>
      <x:c r="K64" s="13" t="str">
        <x:v>info@talenetauto.com</x:v>
      </x:c>
      <x:c r="L64" s="13" t="str">
        <x:v>https://www.talenetauto.com/</x:v>
      </x:c>
      <x:c r="M64" s="13" t="str">
        <x:v>Точный стенд подтверждён компанией</x:v>
      </x:c>
      <x:c r="N64" s="13" t="str">
        <x:v>https://www.talenetauto.com/fr/news/257.html</x:v>
      </x:c>
      <x:c r="O64" s="13" t="str">
        <x:v>Не посещено</x:v>
      </x:c>
      <x:c r="P64" s="13" t="str">
        <x:v>Нет</x:v>
      </x:c>
      <x:c r="Q64" s="13" t="str"/>
      <x:c r="R64" s="13" t="str">
        <x:v>AUTO / EV</x:v>
      </x:c>
      <x:c r="S64" s="13" t="str">
        <x:v>Подтверждённая точка</x:v>
      </x:c>
    </x:row>
    <x:row r="65">
      <x:c r="A65" s="13" t="n">
        <x:v>64</x:v>
      </x:c>
      <x:c r="B65" s="13" t="str">
        <x:v>B</x:v>
      </x:c>
      <x:c r="C65" s="13" t="str">
        <x:v>Winter equipment / snow attachment</x:v>
      </x:c>
      <x:c r="D65" s="13" t="str">
        <x:v>BOB-LIFT</x:v>
      </x:c>
      <x:c r="E65" s="13" t="str">
        <x:v>12.0 + 4.0</x:v>
      </x:c>
      <x:c r="F65" s="13" t="str">
        <x:v>12.0B34; 4.0F04</x:v>
      </x:c>
      <x:c r="G65" s="13" t="str">
        <x:v>Tracked mini skid steer; quick-change attachment ecosystem incl. snow blower</x:v>
      </x:c>
      <x:c r="H65" s="13" t="str">
        <x:v>Не замена отдельной snow-blower фабрике, но коммерчески сильная зимняя точка: базовая машина + snow blower attachment + sweeper/auger/fork дают круглогодичную технику.</x:v>
      </x:c>
      <x:c r="I65" s="13" t="str">
        <x:v>Запросить цену машины + snow blower attachment; working width; hydraulic flow; low-temp hydraulics; tracks; spare parts; CE/EAC; OEM; FOB.</x:v>
      </x:c>
      <x:c r="J65" s="13" t="str">
        <x:v>Уточнить на стенде</x:v>
      </x:c>
      <x:c r="K65" s="13" t="str">
        <x:v>Через компанию</x:v>
      </x:c>
      <x:c r="L65" s="13" t="str">
        <x:v>https://bobliftloader.com/</x:v>
      </x:c>
      <x:c r="M65" s="13" t="str">
        <x:v>Точные стенды подтверждены компанией</x:v>
      </x:c>
      <x:c r="N65" s="13" t="str">
        <x:v>https://bobliftloader.com/news/canton-fair-2026/</x:v>
      </x:c>
      <x:c r="O65" s="13" t="str">
        <x:v>Не посещено</x:v>
      </x:c>
      <x:c r="P65" s="13" t="str">
        <x:v>Нет</x:v>
      </x:c>
      <x:c r="Q65" s="13" t="str"/>
      <x:c r="R65" s="13" t="str">
        <x:v>POWERSPORTS / WINTER</x:v>
      </x:c>
      <x:c r="S65" s="13" t="str">
        <x:v>Подтверждённая точка</x:v>
      </x:c>
    </x:row>
  </x:sheetData>
  <x:conditionalFormatting sqref="B2:B38">
    <x:cfRule type="expression" dxfId="13" priority="1">
      <x:formula>B2="A"</x:formula>
    </x:cfRule>
    <x:cfRule type="expression" dxfId="14" priority="2">
      <x:formula>B2="B"</x:formula>
    </x:cfRule>
  </x:conditionalFormatting>
  <x:conditionalFormatting sqref="O2:O38">
    <x:cfRule type="expression" dxfId="15" priority="3">
      <x:formula>O2="Готово"</x:formula>
    </x:cfRule>
    <x:cfRule type="expression" dxfId="16" priority="4">
      <x:formula>O2="Не подходит"</x:formula>
    </x:cfRule>
  </x:conditionalFormatting>
  <x:conditionalFormatting sqref="B2:B63">
    <x:cfRule type="expression" dxfId="17" priority="5">
      <x:formula>B2="A"</x:formula>
    </x:cfRule>
    <x:cfRule type="expression" dxfId="18" priority="6">
      <x:formula>B2="B"</x:formula>
    </x:cfRule>
  </x:conditionalFormatting>
  <x:conditionalFormatting sqref="O2:O63">
    <x:cfRule type="expression" dxfId="19" priority="7">
      <x:formula>O2="Готово"</x:formula>
    </x:cfRule>
    <x:cfRule type="expression" dxfId="20" priority="8">
      <x:formula>O2="Не подходит"</x:formula>
    </x:cfRule>
  </x:conditionalFormatting>
  <x:conditionalFormatting sqref="B2:B65">
    <x:cfRule type="expression" dxfId="24" priority="9">
      <x:formula>B2="A"</x:formula>
    </x:cfRule>
    <x:cfRule type="expression" dxfId="25" priority="10">
      <x:formula>B2="B"</x:formula>
    </x:cfRule>
  </x:conditionalFormatting>
  <x:dataValidations count="6">
    <x:dataValidation type="list" sqref="O2:O38">
      <x:formula1>"Не посещено,В пути,На стенде,Контакт получен,Переговоры,Follow-up,Готово,Не подходит"</x:formula1>
    </x:dataValidation>
    <x:dataValidation type="list" sqref="P2:P38">
      <x:formula1>"Нет,Да"</x:formula1>
    </x:dataValidation>
    <x:dataValidation type="list" sqref="O2:O63">
      <x:formula1>"Не посещено,В пути,На стенде,Контакт получен,Переговоры,Follow-up,Готово,Не подходит"</x:formula1>
    </x:dataValidation>
    <x:dataValidation type="list" sqref="P2:P63">
      <x:formula1>"Нет,Да"</x:formula1>
    </x:dataValidation>
    <x:dataValidation type="list" sqref="O2:O65">
      <x:formula1>"Не посещено,В пути,На стенде,Контакт получен,Переговоры,Follow-up,Готово,Не подходит"</x:formula1>
    </x:dataValidation>
    <x:dataValidation type="list" sqref="P2:P65">
      <x:formula1>"Нет,Да"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13b3988c6e0480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  <x:col min="4" max="4" width="8" hidden="0" customWidth="1"/>
    <x:col min="5" max="5" width="24" hidden="0" customWidth="1"/>
    <x:col min="6" max="6" width="62" hidden="0" customWidth="1"/>
  </x:cols>
  <x:sheetData>
    <x:row r="1">
      <x:c r="A1" s="33" t="str">
        <x:v>PHASE 1 — ПОЛНАЯ БАЗА ТОЧЕК ПЕРЕД ПОСТРОЕНИЕМ МАРШРУТА</x:v>
      </x:c>
      <x:c r="B1" s="33"/>
      <x:c r="C1" s="33"/>
      <x:c r="D1" s="33"/>
      <x:c r="E1" s="33"/>
      <x:c r="F1" s="33"/>
    </x:row>
    <x:row r="3">
      <x:c r="A3" s="35" t="str">
        <x:v>Показатель</x:v>
      </x:c>
      <x:c r="B3" s="35" t="str">
        <x:v>Значение</x:v>
      </x:c>
      <x:c r="D3" s="36" t="str">
        <x:v>Принцип использования</x:v>
      </x:c>
      <x:c r="E3" s="36"/>
      <x:c r="F3" s="36"/>
    </x:row>
    <x:row r="4">
      <x:c r="A4" t="str">
        <x:v>Всего точек в финальном MASTER</x:v>
      </x:c>
      <x:c r="B4" t="n">
        <x:f>COUNTA('FULL MASTER LIST'!D2:D65)</x:f>
        <x:v>64</x:v>
      </x:c>
      <x:c r="D4" s="12" t="str">
        <x:v>1</x:v>
      </x:c>
      <x:c r="E4" s="12" t="str">
        <x:v>Сначала база</x:v>
      </x:c>
      <x:c r="F4" s="12" t="str">
        <x:v>Не удаляем ни одну подтверждённую точку только из-за низкого приоритета.</x:v>
      </x:c>
    </x:row>
    <x:row r="5">
      <x:c r="A5" t="str">
        <x:v>Приоритет A</x:v>
      </x:c>
      <x:c r="B5" t="n">
        <x:f>COUNTIF('FULL MASTER LIST'!B2:B63,"A")</x:f>
        <x:v>41</x:v>
      </x:c>
      <x:c r="D5" s="12" t="str">
        <x:v>2</x:v>
      </x:c>
      <x:c r="E5" s="12" t="str">
        <x:v>Потом фильтр</x:v>
      </x:c>
      <x:c r="F5" s="12" t="str">
        <x:v>На месте отмечаем релевантность, контакт, результат и коммерческий потенциал.</x:v>
      </x:c>
    </x:row>
    <x:row r="6">
      <x:c r="A6" t="str">
        <x:v>Приоритет B</x:v>
      </x:c>
      <x:c r="B6" t="n">
        <x:f>COUNTIF('FULL MASTER LIST'!B2:B63,"B")</x:f>
        <x:v>21</x:v>
      </x:c>
      <x:c r="D6" s="12" t="str">
        <x:v>3</x:v>
      </x:c>
      <x:c r="E6" s="12" t="str">
        <x:v>Затем карта</x:v>
      </x:c>
      <x:c r="F6" s="12" t="str">
        <x:v>Маршрут строим только после финального состава точек, группируя Hall/Booth.</x:v>
      </x:c>
    </x:row>
    <x:row r="7">
      <x:c r="A7" t="str">
        <x:v>Yacht / Marine</x:v>
      </x:c>
      <x:c r="B7" t="n">
        <x:f>COUNTIF('FULL MASTER LIST'!R2:R63,"YACHT / MARINE")</x:f>
        <x:v>35</x:v>
      </x:c>
      <x:c r="D7" s="12" t="str">
        <x:v>4</x:v>
      </x:c>
      <x:c r="E7" s="12" t="str">
        <x:v>Leader Route</x:v>
      </x:c>
      <x:c r="F7" s="12" t="str">
        <x:v>Это надстройка над полной базой, а не замена базы.</x:v>
      </x:c>
    </x:row>
    <x:row r="8">
      <x:c r="A8" t="str">
        <x:v>Powersports / Winter</x:v>
      </x:c>
      <x:c r="B8" t="n">
        <x:f>COUNTIF('FULL MASTER LIST'!R2:R63,"POWERSPORTS / WINTER")</x:f>
        <x:v>10</x:v>
      </x:c>
      <x:c r="D8" s="12" t="str">
        <x:v>5</x:v>
      </x:c>
      <x:c r="E8" s="12" t="str">
        <x:v>Marine-spec</x:v>
      </x:c>
      <x:c r="F8" s="12" t="str">
        <x:v>Для яхт используем отдельный технический pass/fail-фильтр.</x:v>
      </x:c>
    </x:row>
    <x:row r="9">
      <x:c r="A9" t="str">
        <x:v>Auto / EV</x:v>
      </x:c>
      <x:c r="B9" t="n">
        <x:f>COUNTIF('FULL MASTER LIST'!R2:R63,"AUTO / EV")</x:f>
        <x:v>9</x:v>
      </x:c>
    </x:row>
  </x:sheetData>
  <x:mergeCells>
    <x:mergeCell ref="A1:F1"/>
    <x:mergeCell ref="D3:F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58" hidden="0" customWidth="1"/>
    <x:col min="3" max="3" width="20" hidden="0" customWidth="1"/>
    <x:col min="4" max="4" width="65" hidden="0" customWidth="1"/>
  </x:cols>
  <x:sheetData>
    <x:row r="1">
      <x:c r="A1" s="41" t="str">
        <x:v>Направление</x:v>
      </x:c>
      <x:c r="B1" s="41" t="str">
        <x:v>Точное покрытие в MASTER</x:v>
      </x:c>
      <x:c r="C1" s="41" t="str">
        <x:v>Оценка покрытия</x:v>
      </x:c>
      <x:c r="D1" s="41" t="str">
        <x:v>Комментарий</x:v>
      </x:c>
    </x:row>
    <x:row r="2">
      <x:c r="A2" s="12" t="str">
        <x:v>Генераторы / hybrid power</x:v>
      </x:c>
      <x:c r="B2" s="12" t="str">
        <x:v>AGG, Hongfu, AEROBS, Liyu, MPMC, FULLAS</x:v>
      </x:c>
      <x:c r="C2" s="12" t="str">
        <x:v>СИЛЬНОЕ</x:v>
      </x:c>
      <x:c r="D2" s="12" t="str">
        <x:v>Есть несколько прямых производителей и hybrid-систем</x:v>
      </x:c>
    </x:row>
    <x:row r="3">
      <x:c r="A3" s="12" t="str">
        <x:v>Электромоторы / drive engineering</x:v>
      </x:c>
      <x:c r="B3" s="12" t="str">
        <x:v>Jiangxin, Keli, INVT</x:v>
      </x:c>
      <x:c r="C3" s="12" t="str">
        <x:v>СРЕДНЕЕ+</x:v>
      </x:c>
      <x:c r="D3" s="12" t="str">
        <x:v>Есть engineering, но готовый certified marine propulsion booth не найден</x:v>
      </x:c>
    </x:row>
    <x:row r="4">
      <x:c r="A4" s="12" t="str">
        <x:v>Лодочные моторы / outboards</x:v>
      </x:c>
      <x:c r="B4" s="12" t="str">
        <x:v>0 точных booth</x:v>
      </x:c>
      <x:c r="C4" s="12" t="str">
        <x:v>НЕ ЗАКРЫТО</x:v>
      </x:c>
      <x:c r="D4" s="12" t="str">
        <x:v>Parsun/Anqidi не внесены без подтверждённого booth 140-й</x:v>
      </x:c>
    </x:row>
    <x:row r="5">
      <x:c r="A5" s="12" t="str">
        <x:v>Рулевые системы</x:v>
      </x:c>
      <x:c r="B5" s="12" t="str">
        <x:v>AISOAR + steering-component vendors из основного списка</x:v>
      </x:c>
      <x:c r="C5" s="12" t="str">
        <x:v>СРЕДНЕЕ</x:v>
      </x:c>
      <x:c r="D5" s="12" t="str">
        <x:v>Есть custom hydraulics; готовый marine helm+cylinder kit не подтверждён</x:v>
      </x:c>
    </x:row>
    <x:row r="6">
      <x:c r="A6" s="12" t="str">
        <x:v>Marine hardware / fasteners</x:v>
      </x:c>
      <x:c r="B6" s="12" t="str">
        <x:v>Aleader, FASTO, Weifeng</x:v>
      </x:c>
      <x:c r="C6" s="12" t="str">
        <x:v>СИЛЬНОЕ</x:v>
      </x:c>
      <x:c r="D6" s="12" t="str">
        <x:v>316/316L hardware + rigging + fasteners</x:v>
      </x:c>
    </x:row>
    <x:row r="7">
      <x:c r="A7" s="12" t="str">
        <x:v>Marine pumps</x:v>
      </x:c>
      <x:c r="B7" s="12" t="str">
        <x:v>Ruirong/MASTRA, SLAPK, DIFFUL, AEROBS</x:v>
      </x:c>
      <x:c r="C7" s="12" t="str">
        <x:v>СИЛЬНОЕ</x:v>
      </x:c>
      <x:c r="D7" s="12" t="str">
        <x:v>Несколько насосных фабрик для сравнения</x:v>
      </x:c>
    </x:row>
    <x:row r="8">
      <x:c r="A8" s="12" t="str">
        <x:v>Marine electrical / protection</x:v>
      </x:c>
      <x:c r="B8" s="12" t="str">
        <x:v>Gutai, GACIA, DADA, EBASEE, MAXGE, Renyun</x:v>
      </x:c>
      <x:c r="C8" s="12" t="str">
        <x:v>СИЛЬНОЕ</x:v>
      </x:c>
      <x:c r="D8" s="12" t="str">
        <x:v>Коннекторы + breakers + CEE + busbar</x:v>
      </x:c>
    </x:row>
    <x:row r="9">
      <x:c r="A9" s="12" t="str">
        <x:v>Marine lighting / rugged</x:v>
      </x:c>
      <x:c r="B9" s="12" t="str">
        <x:v>AURORA, Oteshen, SENKEN + lighting OEM</x:v>
      </x:c>
      <x:c r="C9" s="12" t="str">
        <x:v>СРЕДНЕЕ+</x:v>
      </x:c>
      <x:c r="D9" s="12" t="str">
        <x:v>Rugged/auxiliary закрыто; COLREG navigation lights не подтверждены</x:v>
      </x:c>
    </x:row>
    <x:row r="10">
      <x:c r="A10" s="12" t="str">
        <x:v>Marine audio / infotainment</x:v>
      </x:c>
      <x:c r="B10" s="12" t="str">
        <x:v>KLYDE, DSPPA, MIVOIS, FIFINE, Flysonic</x:v>
      </x:c>
      <x:c r="C10" s="12" t="str">
        <x:v>СИЛЬНОЕ ДЛЯ OEM</x:v>
      </x:c>
      <x:c r="D10" s="12" t="str">
        <x:v>Marine-native speakers/amps всё ещё требуют проверки на стендах</x:v>
      </x:c>
    </x:row>
    <x:row r="11">
      <x:c r="A11" s="12" t="str">
        <x:v>Marine electronics / sonar</x:v>
      </x:c>
      <x:c r="B11" s="12" t="str">
        <x:v>KLYDE, Boatman</x:v>
      </x:c>
      <x:c r="C11" s="12" t="str">
        <x:v>СИЛЬНОЕ ЯДРО</x:v>
      </x:c>
      <x:c r="D11" s="12" t="str">
        <x:v>Display/infotainment + sonar/fishfinder</x:v>
      </x:c>
    </x:row>
    <x:row r="12">
      <x:c r="A12" s="12" t="str">
        <x:v>Battery / BMS</x:v>
      </x:c>
      <x:c r="B12" s="12" t="str">
        <x:v>KIJO, FEBATT, MPMC, Felicity, BSL</x:v>
      </x:c>
      <x:c r="C12" s="12" t="str">
        <x:v>СИЛЬНОЕ</x:v>
      </x:c>
      <x:c r="D12" s="12" t="str">
        <x:v>Есть ESS и high-discharge/e-mobility</x:v>
      </x:c>
    </x:row>
    <x:row r="13">
      <x:c r="A13" s="12" t="str">
        <x:v>Inverter / charger</x:v>
      </x:c>
      <x:c r="B13" s="12" t="str">
        <x:v>Multifit, Prostar, INVT, MPMC</x:v>
      </x:c>
      <x:c r="C13" s="12" t="str">
        <x:v>СИЛЬНОЕ</x:v>
      </x:c>
      <x:c r="D13" s="12" t="str">
        <x:v>Подходящие engineering vendors</x:v>
      </x:c>
    </x:row>
    <x:row r="14">
      <x:c r="A14" s="12" t="str">
        <x:v>Solar</x:v>
      </x:c>
      <x:c r="B14" s="12" t="str">
        <x:v>Sungold</x:v>
      </x:c>
      <x:c r="C14" s="12" t="str">
        <x:v>ТОЧЕЧНО СИЛЬНОЕ</x:v>
      </x:c>
      <x:c r="D14" s="12" t="str">
        <x:v>Одна очень релевантная flexible-PV фабрика</x:v>
      </x:c>
    </x:row>
    <x:row r="15">
      <x:c r="A15" s="12" t="str">
        <x:v>ATV / UTV</x:v>
      </x:c>
      <x:c r="B15" s="12" t="str">
        <x:v>HIGHPER, ODES, KINGGANG, Shuangye + бренды из основы</x:v>
      </x:c>
      <x:c r="C15" s="12" t="str">
        <x:v>СИЛЬНОЕ</x:v>
      </x:c>
      <x:c r="D15" s="12" t="str">
        <x:v>Есть бензиновые и electric варианты</x:v>
      </x:c>
    </x:row>
    <x:row r="16">
      <x:c r="A16" s="12" t="str">
        <x:v>Снегоходы</x:v>
      </x:c>
      <x:c r="B16" s="12" t="str">
        <x:v>0 точных booth</x:v>
      </x:c>
      <x:c r="C16" s="12" t="str">
        <x:v>НЕ ЗАКРЫТО</x:v>
      </x:c>
      <x:c r="D16" s="12" t="str">
        <x:v>Не подставляю неподтверждённые фабрики</x:v>
      </x:c>
    </x:row>
    <x:row r="17">
      <x:c r="A17" s="12" t="str">
        <x:v>Snow blowers / winter machinery</x:v>
      </x:c>
      <x:c r="B17" s="12" t="str">
        <x:v>DAYE/AL-KO, LEO Garden</x:v>
      </x:c>
      <x:c r="C17" s="12" t="str">
        <x:v>СРЕДНЕЕ</x:v>
      </x:c>
      <x:c r="D17" s="12" t="str">
        <x:v>Две реальные power-equipment фабрики; winter line нужно подтвердить на стенде</x:v>
      </x:c>
    </x:row>
    <x:row r="18">
      <x:c r="A18" s="12" t="str">
        <x:v>Автомобили / EV</x:v>
      </x:c>
      <x:c r="B18" s="12" t="str">
        <x:v>Jonway EV, DUDU Export, HDK + WANPU ecosystem</x:v>
      </x:c>
      <x:c r="C18" s="12" t="str">
        <x:v>СРЕДНЕЕ+</x:v>
      </x:c>
      <x:c r="D18" s="12" t="str">
        <x:v>Есть manufacturer/exporter/utility EV, но не полный набор passenger brands</x:v>
      </x:c>
    </x:row>
    <x:row r="19">
      <x:c r="A19" s="12" t="str">
        <x:v>Инновации</x:v>
      </x:c>
      <x:c r="B19" s="12" t="str">
        <x:v>JOUAV, Ulefone, ODOT, AGG hybrid, Shuangye EV, KLYDE</x:v>
      </x:c>
      <x:c r="C19" s="12" t="str">
        <x:v>СИЛЬНОЕ</x:v>
      </x:c>
      <x:c r="D19" s="12" t="str">
        <x:v>Точки связаны с твоими товарными направлениями</x:v>
      </x:c>
    </x:row>
  </x:sheetData>
  <x:conditionalFormatting sqref="C2:C19">
    <x:cfRule type="expression" dxfId="21" priority="1">
      <x:formula>ISNUMBER(SEARCH("СИЛЬ",C2))</x:formula>
    </x:cfRule>
    <x:cfRule type="expression" dxfId="22" priority="2">
      <x:formula>ISNUMBER(SEARCH("НЕ ЗАКРЫТО",C2))</x:formula>
    </x:cfRule>
    <x:cfRule type="expression" dxfId="23" priority="3">
      <x:formula>ISNUMBER(SEARCH("СРЕД",C2))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24" hidden="0" customWidth="1"/>
    <x:col min="3" max="3" width="65" hidden="0" customWidth="1"/>
    <x:col min="4" max="4" width="70" hidden="0" customWidth="1"/>
  </x:cols>
  <x:sheetData>
    <x:row r="1">
      <x:c r="A1" s="44" t="str">
        <x:v>Направление</x:v>
      </x:c>
      <x:c r="B1" s="44" t="str">
        <x:v>Статус</x:v>
      </x:c>
      <x:c r="C1" s="44" t="str">
        <x:v>Что есть в финальном MASTER</x:v>
      </x:c>
      <x:c r="D1" s="44" t="str">
        <x:v>Вывод</x:v>
      </x:c>
    </x:row>
    <x:row r="2">
      <x:c r="A2" s="12" t="str">
        <x:v>Генераторы / hybrid</x:v>
      </x:c>
      <x:c r="B2" s="12" t="str">
        <x:v>ЗАКРЫТО</x:v>
      </x:c>
      <x:c r="C2" s="12" t="str">
        <x:v>AGG, Hongfu, AEROBS, Liyu, MPMC, FULLAS</x:v>
      </x:c>
      <x:c r="D2" s="12" t="str">
        <x:v>Сильный выбор производителей и систем</x:v>
      </x:c>
    </x:row>
    <x:row r="3">
      <x:c r="A3" s="12" t="str">
        <x:v>Battery / BMS / inverter</x:v>
      </x:c>
      <x:c r="B3" s="12" t="str">
        <x:v>ЗАКРЫТО</x:v>
      </x:c>
      <x:c r="C3" s="12" t="str">
        <x:v>KIJO, FEBATT, MPMC, Multifit, Prostar, INVT, Felicity</x:v>
      </x:c>
      <x:c r="D3" s="12" t="str">
        <x:v>Сильное покрытие</x:v>
      </x:c>
    </x:row>
    <x:row r="4">
      <x:c r="A4" s="12" t="str">
        <x:v>Marine hardware / fasteners</x:v>
      </x:c>
      <x:c r="B4" s="12" t="str">
        <x:v>ЗАКРЫТО</x:v>
      </x:c>
      <x:c r="C4" s="12" t="str">
        <x:v>Aleader, FASTO, Weifeng</x:v>
      </x:c>
      <x:c r="D4" s="12" t="str">
        <x:v>Есть 316/316L + OEM</x:v>
      </x:c>
    </x:row>
    <x:row r="5">
      <x:c r="A5" s="12" t="str">
        <x:v>Marine electrical</x:v>
      </x:c>
      <x:c r="B5" s="12" t="str">
        <x:v>ЗАКРЫТО</x:v>
      </x:c>
      <x:c r="C5" s="12" t="str">
        <x:v>Gutai, GACIA, DADA, EBASEE, MAXGE, Renyun</x:v>
      </x:c>
      <x:c r="D5" s="12" t="str">
        <x:v>Коннекторы, breakers, CEE, busbar</x:v>
      </x:c>
    </x:row>
    <x:row r="6">
      <x:c r="A6" s="12" t="str">
        <x:v>Marine pumps</x:v>
      </x:c>
      <x:c r="B6" s="12" t="str">
        <x:v>ЗАКРЫТО</x:v>
      </x:c>
      <x:c r="C6" s="12" t="str">
        <x:v>Ruirong/MASTRA, SLAPK, DIFFUL, AEROBS</x:v>
      </x:c>
      <x:c r="D6" s="12" t="str">
        <x:v>Несколько реальных фабрик</x:v>
      </x:c>
    </x:row>
    <x:row r="7">
      <x:c r="A7" s="12" t="str">
        <x:v>Marine electronics / displays</x:v>
      </x:c>
      <x:c r="B7" s="12" t="str">
        <x:v>ЗАКРЫТО</x:v>
      </x:c>
      <x:c r="C7" s="12" t="str">
        <x:v>KLYDE, Boatman, Flysonic</x:v>
      </x:c>
      <x:c r="D7" s="12" t="str">
        <x:v>Хорошая база для OEM</x:v>
      </x:c>
    </x:row>
    <x:row r="8">
      <x:c r="A8" s="12" t="str">
        <x:v>Marine audio</x:v>
      </x:c>
      <x:c r="B8" s="12" t="str">
        <x:v>ЗАКРЫТО ДЛЯ OEM</x:v>
      </x:c>
      <x:c r="C8" s="12" t="str">
        <x:v>KLYDE, DSPPA, MIVOIS, FIFINE, Flysonic</x:v>
      </x:c>
      <x:c r="D8" s="12" t="str">
        <x:v>Есть сильные OEM/audio точки; готовые marine-native speakers/amps проверить на стенде</x:v>
      </x:c>
    </x:row>
    <x:row r="9">
      <x:c r="A9" s="12" t="str">
        <x:v>Marine solar</x:v>
      </x:c>
      <x:c r="B9" s="12" t="str">
        <x:v>ЗАКРЫТО</x:v>
      </x:c>
      <x:c r="C9" s="12" t="str">
        <x:v>Sungold</x:v>
      </x:c>
      <x:c r="D9" s="12" t="str">
        <x:v>Очень релевантный flexible-PV supplier</x:v>
      </x:c>
    </x:row>
    <x:row r="10">
      <x:c r="A10" s="12" t="str">
        <x:v>ATV / UTV</x:v>
      </x:c>
      <x:c r="B10" s="12" t="str">
        <x:v>ЗАКРЫТО</x:v>
      </x:c>
      <x:c r="C10" s="12" t="str">
        <x:v>HIGHPER, ODES, KINGGANG, Shuangye + supplier-chain</x:v>
      </x:c>
      <x:c r="D10" s="12" t="str">
        <x:v>Сильное покрытие</x:v>
      </x:c>
    </x:row>
    <x:row r="11">
      <x:c r="A11" s="12" t="str">
        <x:v>Winter / snow equipment</x:v>
      </x:c>
      <x:c r="B11" s="12" t="str">
        <x:v>ЗАКРЫТО ЧАСТИЧНО</x:v>
      </x:c>
      <x:c r="C11" s="12" t="str">
        <x:v>DAYE/AL-KO, LEO Garden, BOB-LIFT snow attachment</x:v>
      </x:c>
      <x:c r="D11" s="12" t="str">
        <x:v>Есть реальные точки, но отдельной подтверждённой snowmobile booth нет</x:v>
      </x:c>
    </x:row>
    <x:row r="12">
      <x:c r="A12" s="12" t="str">
        <x:v>Автомобили / экспорт</x:v>
      </x:c>
      <x:c r="B12" s="12" t="str">
        <x:v>УСИЛЕНО</x:v>
      </x:c>
      <x:c r="C12" s="12" t="str">
        <x:v>Jonway EV, DUDU, TALENET, HDK, WANPU</x:v>
      </x:c>
      <x:c r="D12" s="12" t="str">
        <x:v>Теперь есть manufacturer + 2 экспортных канала + ecosystem</x:v>
      </x:c>
    </x:row>
    <x:row r="13">
      <x:c r="A13" s="12" t="str">
        <x:v>Outboard motors</x:v>
      </x:c>
      <x:c r="B13" s="12" t="str">
        <x:v>НЕ ЗАКРЫТО</x:v>
      </x:c>
      <x:c r="C13" s="12" t="str">
        <x:v>Нет точного Booth 140-й, который удалось надёжно подтвердить</x:v>
      </x:c>
      <x:c r="D13" s="12" t="str">
        <x:v>Не добавлять Parsun/Anqidi без booth verification</x:v>
      </x:c>
    </x:row>
    <x:row r="14">
      <x:c r="A14" s="12" t="str">
        <x:v>Готовая marine steering kit</x:v>
      </x:c>
      <x:c r="B14" s="12" t="str">
        <x:v>НЕ ЗАКРЫТО</x:v>
      </x:c>
      <x:c r="C14" s="12" t="str">
        <x:v>AISOAR даёт cylinders/HPU и custom engineering</x:v>
      </x:c>
      <x:c r="D14" s="12" t="str">
        <x:v>Есть инженерная база, но нет подтверждённого готового helm+pump+cylinder комплекта</x:v>
      </x:c>
    </x:row>
    <x:row r="15">
      <x:c r="A15" s="12" t="str">
        <x:v>COLREG navigation lights</x:v>
      </x:c>
      <x:c r="B15" s="12" t="str">
        <x:v>НЕ ЗАКРЫТО</x:v>
      </x:c>
      <x:c r="C15" s="12" t="str">
        <x:v>Rugged lighting есть: AURORA/Oteshen/SENKEN</x:v>
      </x:c>
      <x:c r="D15" s="12" t="str">
        <x:v>Нет подтверждённой точки с COLREG-certified nav lights</x:v>
      </x:c>
    </x:row>
    <x:row r="16">
      <x:c r="A16" s="12" t="str">
        <x:v>Снегоходы</x:v>
      </x:c>
      <x:c r="B16" s="12" t="str">
        <x:v>НЕ ЗАКРЫТО</x:v>
      </x:c>
      <x:c r="C16" s="12" t="str">
        <x:v>Electric snowmobile factories существуют вне подтверждённого booth</x:v>
      </x:c>
      <x:c r="D16" s="12" t="str">
        <x:v>Не ставить в маршрут без точной точки</x:v>
      </x:c>
    </x:row>
  </x:sheetData>
  <x:conditionalFormatting sqref="B2:B16">
    <x:cfRule type="expression" dxfId="26" priority="1">
      <x:formula>ISNUMBER(SEARCH("ЗАКРЫТО",B2))</x:formula>
    </x:cfRule>
    <x:cfRule type="expression" dxfId="27" priority="2">
      <x:formula>ISNUMBER(SEARCH("НЕ ЗАКРЫТО",B2))</x:formula>
    </x:cfRule>
    <x:cfRule type="expression" dxfId="28" priority="3">
      <x:formula>ISNUMBER(SEARCH("ЧАСТИЧНО",B2))</x:formula>
    </x:cfRule>
  </x:conditionalFormatting>
  <x:pageMargins left="0.7" right="0.7" top="0.75" bottom="0.75" header="0.3" footer="0.3"/>
</x:worksheet>
</file>